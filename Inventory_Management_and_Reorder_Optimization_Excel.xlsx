
<file path=[Content_Types].xml><?xml version="1.0" encoding="utf-8"?>
<Types xmlns="http://schemas.openxmlformats.org/package/2006/content-types">
  <Default Extension="data" ContentType="application/vnd.openxmlformats-officedocument.model+data"/>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slicerCaches/slicerCache1.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1.xml" ContentType="application/vnd.openxmlformats-officedocument.drawing+xml"/>
  <Override PartName="/xl/tables/table6.xml" ContentType="application/vnd.openxmlformats-officedocument.spreadsheetml.table+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drawings/drawing2.xml" ContentType="application/vnd.openxmlformats-officedocument.drawing+xml"/>
  <Override PartName="/xl/slicers/slicer2.xml" ContentType="application/vnd.ms-excel.slicer+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charts/chart17.xml" ContentType="application/vnd.openxmlformats-officedocument.drawingml.chart+xml"/>
  <Override PartName="/xl/charts/style17.xml" ContentType="application/vnd.ms-office.chartstyle+xml"/>
  <Override PartName="/xl/charts/colors17.xml" ContentType="application/vnd.ms-office.chartcolorstyle+xml"/>
  <Override PartName="/xl/charts/chart18.xml" ContentType="application/vnd.openxmlformats-officedocument.drawingml.chart+xml"/>
  <Override PartName="/xl/charts/style18.xml" ContentType="application/vnd.ms-office.chartstyle+xml"/>
  <Override PartName="/xl/charts/colors18.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customXml/itemProps24.xml" ContentType="application/vnd.openxmlformats-officedocument.customXmlProperties+xml"/>
  <Override PartName="/customXml/itemProps25.xml" ContentType="application/vnd.openxmlformats-officedocument.customXmlProperties+xml"/>
  <Override PartName="/customXml/itemProps26.xml" ContentType="application/vnd.openxmlformats-officedocument.customXmlProperties+xml"/>
  <Override PartName="/customXml/itemProps27.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hidePivotFieldList="1" defaultThemeVersion="166925"/>
  <mc:AlternateContent xmlns:mc="http://schemas.openxmlformats.org/markup-compatibility/2006">
    <mc:Choice Requires="x15">
      <x15ac:absPath xmlns:x15ac="http://schemas.microsoft.com/office/spreadsheetml/2010/11/ac" url="C:\Users\goura\Documents\EXCEL (Data analyst)\Project_2\"/>
    </mc:Choice>
  </mc:AlternateContent>
  <xr:revisionPtr revIDLastSave="0" documentId="13_ncr:1_{8A011B30-60B1-4ABF-A4DF-BA2742FF111F}" xr6:coauthVersionLast="47" xr6:coauthVersionMax="47" xr10:uidLastSave="{00000000-0000-0000-0000-000000000000}"/>
  <bookViews>
    <workbookView xWindow="-108" yWindow="-108" windowWidth="23256" windowHeight="12456" tabRatio="895" activeTab="6" xr2:uid="{6B87B84D-D780-4375-BA32-668A8A519257}"/>
  </bookViews>
  <sheets>
    <sheet name="Product_Master" sheetId="7" r:id="rId1"/>
    <sheet name="Inventory_Transactions" sheetId="2" r:id="rId2"/>
    <sheet name="Inventory_Status" sheetId="8" r:id="rId3"/>
    <sheet name="Demand_Analysis" sheetId="5" r:id="rId4"/>
    <sheet name="Reorder_Optimization" sheetId="6" r:id="rId5"/>
    <sheet name="Sheet2" sheetId="10" state="hidden" r:id="rId6"/>
    <sheet name="Dashboard" sheetId="9" r:id="rId7"/>
  </sheets>
  <definedNames>
    <definedName name="_xlcn.WorksheetConnection_Book5.xlsxtbl_Demand_Analysis1" hidden="1">tbl_Demand_Analysis[]</definedName>
    <definedName name="_xlcn.WorksheetConnection_Book5.xlsxtbl_Inventory_Status1" hidden="1">tbl_Inventory_Status[]</definedName>
    <definedName name="_xlcn.WorksheetConnection_Book5.xlsxtbl_Products1" hidden="1">tbl_Products[]</definedName>
    <definedName name="_xlcn.WorksheetConnection_Book5.xlsxtbl_Reorder_Optimization1" hidden="1">tbl_Reorder_Optimization[]</definedName>
    <definedName name="_xlcn.WorksheetConnection_Book5.xlsxtbl_Transactions1" hidden="1">tbl_Transactions[]</definedName>
    <definedName name="product">#REF!</definedName>
    <definedName name="Product_Master">#REF!</definedName>
    <definedName name="Slicer_Category">#N/A</definedName>
  </definedNames>
  <calcPr calcId="191029"/>
  <pivotCaches>
    <pivotCache cacheId="0" r:id="rId8"/>
    <pivotCache cacheId="1" r:id="rId9"/>
    <pivotCache cacheId="2" r:id="rId10"/>
    <pivotCache cacheId="3" r:id="rId11"/>
    <pivotCache cacheId="64" r:id="rId12"/>
    <pivotCache cacheId="67" r:id="rId13"/>
    <pivotCache cacheId="70" r:id="rId14"/>
  </pivotCaches>
  <extLst>
    <ext xmlns:x14="http://schemas.microsoft.com/office/spreadsheetml/2009/9/main" uri="{876F7934-8845-4945-9796-88D515C7AA90}">
      <x14:pivotCaches>
        <pivotCache cacheId="7" r:id="rId15"/>
      </x14:pivotCaches>
    </ext>
    <ext xmlns:x14="http://schemas.microsoft.com/office/spreadsheetml/2009/9/main" uri="{BBE1A952-AA13-448e-AADC-164F8A28A991}">
      <x14:slicerCaches>
        <x14:slicerCache r:id="rId16"/>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tbl_Transactions" name="tbl_Transactions" connection="WorksheetConnection_Book5.xlsx!tbl_Transactions"/>
          <x15:modelTable id="tbl_Reorder_Optimization" name="tbl_Reorder_Optimization" connection="WorksheetConnection_Book5.xlsx!tbl_Reorder_Optimization"/>
          <x15:modelTable id="tbl_Products" name="tbl_Products" connection="WorksheetConnection_Book5.xlsx!tbl_Products"/>
          <x15:modelTable id="tbl_Inventory_Status" name="tbl_Inventory_Status" connection="WorksheetConnection_Book5.xlsx!tbl_Inventory_Status"/>
          <x15:modelTable id="tbl_Demand_Analysis" name="tbl_Demand_Analysis" connection="WorksheetConnection_Book5.xlsx!tbl_Demand_Analysis"/>
        </x15:modelTables>
        <x15:modelRelationships>
          <x15:modelRelationship fromTable="tbl_Inventory_Status" fromColumn="Product_ID" toTable="tbl_Products" toColumn="Product_ID"/>
          <x15:modelRelationship fromTable="tbl_Demand_Analysis" fromColumn="Product_ID" toTable="tbl_Products" toColumn="Product_ID"/>
          <x15:modelRelationship fromTable="tbl_Reorder_Optimization" fromColumn="Product_ID" toTable="tbl_Products" toColumn="Product_ID"/>
        </x15:modelRelationship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N14" i="10" l="1"/>
  <c r="E129" i="8"/>
  <c r="I2" i="6"/>
  <c r="I3" i="6"/>
  <c r="I4" i="6"/>
  <c r="I5" i="6"/>
  <c r="I4" i="10" s="1"/>
  <c r="I6" i="6"/>
  <c r="I7" i="6"/>
  <c r="I8" i="6"/>
  <c r="I9" i="6"/>
  <c r="I10" i="6"/>
  <c r="I11" i="6"/>
  <c r="I12" i="6"/>
  <c r="I13" i="6"/>
  <c r="I14" i="6"/>
  <c r="I15" i="6"/>
  <c r="I16" i="6"/>
  <c r="I17" i="6"/>
  <c r="I18" i="6"/>
  <c r="I19" i="6"/>
  <c r="I20" i="6"/>
  <c r="I21" i="6"/>
  <c r="I22" i="6"/>
  <c r="I23" i="6"/>
  <c r="I24" i="6"/>
  <c r="I25" i="6"/>
  <c r="I26" i="6"/>
  <c r="I27" i="6"/>
  <c r="I28" i="6"/>
  <c r="I29" i="6"/>
  <c r="I30" i="6"/>
  <c r="I31" i="6"/>
  <c r="I32" i="6"/>
  <c r="I33" i="6"/>
  <c r="I34" i="6"/>
  <c r="I35" i="6"/>
  <c r="I36" i="6"/>
  <c r="I37" i="6"/>
  <c r="I38" i="6"/>
  <c r="I39" i="6"/>
  <c r="I40" i="6"/>
  <c r="I41" i="6"/>
  <c r="I42" i="6"/>
  <c r="I43" i="6"/>
  <c r="I44" i="6"/>
  <c r="I45" i="6"/>
  <c r="I46" i="6"/>
  <c r="I47" i="6"/>
  <c r="I48" i="6"/>
  <c r="I49" i="6"/>
  <c r="I50" i="6"/>
  <c r="I51" i="6"/>
  <c r="I52" i="6"/>
  <c r="I53" i="6"/>
  <c r="I54" i="6"/>
  <c r="I55" i="6"/>
  <c r="I56" i="6"/>
  <c r="I57" i="6"/>
  <c r="I58" i="6"/>
  <c r="I59" i="6"/>
  <c r="I60" i="6"/>
  <c r="I61" i="6"/>
  <c r="I62" i="6"/>
  <c r="I63" i="6"/>
  <c r="I64" i="6"/>
  <c r="I65" i="6"/>
  <c r="I66" i="6"/>
  <c r="I67" i="6"/>
  <c r="I68" i="6"/>
  <c r="I69" i="6"/>
  <c r="I70" i="6"/>
  <c r="I71" i="6"/>
  <c r="I72" i="6"/>
  <c r="I73" i="6"/>
  <c r="I74" i="6"/>
  <c r="I75" i="6"/>
  <c r="I76" i="6"/>
  <c r="I77" i="6"/>
  <c r="I78" i="6"/>
  <c r="I79" i="6"/>
  <c r="I80" i="6"/>
  <c r="I81" i="6"/>
  <c r="I82" i="6"/>
  <c r="I83" i="6"/>
  <c r="I84" i="6"/>
  <c r="I85" i="6"/>
  <c r="I86" i="6"/>
  <c r="I87" i="6"/>
  <c r="I88" i="6"/>
  <c r="I89" i="6"/>
  <c r="I90" i="6"/>
  <c r="I91" i="6"/>
  <c r="I92" i="6"/>
  <c r="I93" i="6"/>
  <c r="I94" i="6"/>
  <c r="I95" i="6"/>
  <c r="I96" i="6"/>
  <c r="I97" i="6"/>
  <c r="I98" i="6"/>
  <c r="I99" i="6"/>
  <c r="I100" i="6"/>
  <c r="I101" i="6"/>
  <c r="I102" i="6"/>
  <c r="I103" i="6"/>
  <c r="I104" i="6"/>
  <c r="I105" i="6"/>
  <c r="I106" i="6"/>
  <c r="I107" i="6"/>
  <c r="I108" i="6"/>
  <c r="I109" i="6"/>
  <c r="I110" i="6"/>
  <c r="I111" i="6"/>
  <c r="I112" i="6"/>
  <c r="I113" i="6"/>
  <c r="I114" i="6"/>
  <c r="I115" i="6"/>
  <c r="I116" i="6"/>
  <c r="I117" i="6"/>
  <c r="I118" i="6"/>
  <c r="I119" i="6"/>
  <c r="I120" i="6"/>
  <c r="I121" i="6"/>
  <c r="I122" i="6"/>
  <c r="I373" i="10"/>
  <c r="H362" i="10"/>
  <c r="H361" i="10"/>
  <c r="I222" i="10"/>
  <c r="I221" i="10"/>
  <c r="L8" i="10"/>
  <c r="I8" i="10"/>
  <c r="G8" i="10"/>
  <c r="N4" i="10"/>
  <c r="L4" i="10"/>
  <c r="G4" i="10"/>
  <c r="F126" i="6"/>
  <c r="H122" i="6"/>
  <c r="G122" i="6"/>
  <c r="F122" i="6"/>
  <c r="E122" i="6"/>
  <c r="D122" i="6"/>
  <c r="C122" i="6"/>
  <c r="C122" i="6" a="1"/>
  <c r="B122" i="6"/>
  <c r="H121" i="6"/>
  <c r="G121" i="6"/>
  <c r="F121" i="6"/>
  <c r="E121" i="6"/>
  <c r="D121" i="6"/>
  <c r="C121" i="6"/>
  <c r="C121" i="6" a="1"/>
  <c r="B121" i="6"/>
  <c r="H120" i="6"/>
  <c r="G120" i="6"/>
  <c r="F120" i="6"/>
  <c r="E120" i="6"/>
  <c r="D120" i="6"/>
  <c r="C120" i="6"/>
  <c r="C120" i="6" a="1"/>
  <c r="B120" i="6"/>
  <c r="H119" i="6"/>
  <c r="G119" i="6"/>
  <c r="F119" i="6"/>
  <c r="E119" i="6"/>
  <c r="D119" i="6"/>
  <c r="C119" i="6"/>
  <c r="C119" i="6" a="1"/>
  <c r="B119" i="6"/>
  <c r="H118" i="6"/>
  <c r="G118" i="6"/>
  <c r="F118" i="6"/>
  <c r="E118" i="6"/>
  <c r="D118" i="6"/>
  <c r="C118" i="6"/>
  <c r="C118" i="6" a="1"/>
  <c r="B118" i="6"/>
  <c r="H117" i="6"/>
  <c r="G117" i="6"/>
  <c r="F117" i="6"/>
  <c r="E117" i="6"/>
  <c r="D117" i="6"/>
  <c r="C117" i="6"/>
  <c r="C117" i="6" a="1"/>
  <c r="B117" i="6"/>
  <c r="H116" i="6"/>
  <c r="G116" i="6"/>
  <c r="F116" i="6"/>
  <c r="E116" i="6"/>
  <c r="D116" i="6"/>
  <c r="C116" i="6"/>
  <c r="C116" i="6" a="1"/>
  <c r="B116" i="6"/>
  <c r="H115" i="6"/>
  <c r="G115" i="6"/>
  <c r="F115" i="6"/>
  <c r="E115" i="6"/>
  <c r="D115" i="6"/>
  <c r="C115" i="6"/>
  <c r="C115" i="6" a="1"/>
  <c r="B115" i="6"/>
  <c r="H114" i="6"/>
  <c r="G114" i="6"/>
  <c r="F114" i="6"/>
  <c r="E114" i="6"/>
  <c r="D114" i="6"/>
  <c r="C114" i="6"/>
  <c r="C114" i="6" a="1"/>
  <c r="B114" i="6"/>
  <c r="H113" i="6"/>
  <c r="G113" i="6"/>
  <c r="F113" i="6"/>
  <c r="E113" i="6"/>
  <c r="D113" i="6"/>
  <c r="C113" i="6"/>
  <c r="C113" i="6" a="1"/>
  <c r="B113" i="6"/>
  <c r="H112" i="6"/>
  <c r="G112" i="6"/>
  <c r="F112" i="6"/>
  <c r="E112" i="6"/>
  <c r="D112" i="6"/>
  <c r="C112" i="6"/>
  <c r="C112" i="6" a="1"/>
  <c r="B112" i="6"/>
  <c r="H111" i="6"/>
  <c r="G111" i="6"/>
  <c r="F111" i="6"/>
  <c r="E111" i="6"/>
  <c r="D111" i="6"/>
  <c r="C111" i="6"/>
  <c r="C111" i="6" a="1"/>
  <c r="B111" i="6"/>
  <c r="H110" i="6"/>
  <c r="G110" i="6"/>
  <c r="F110" i="6"/>
  <c r="E110" i="6"/>
  <c r="D110" i="6"/>
  <c r="C110" i="6"/>
  <c r="C110" i="6" a="1"/>
  <c r="B110" i="6"/>
  <c r="H109" i="6"/>
  <c r="G109" i="6"/>
  <c r="F109" i="6"/>
  <c r="E109" i="6"/>
  <c r="D109" i="6"/>
  <c r="C109" i="6"/>
  <c r="C109" i="6" a="1"/>
  <c r="B109" i="6"/>
  <c r="H108" i="6"/>
  <c r="G108" i="6"/>
  <c r="F108" i="6"/>
  <c r="E108" i="6"/>
  <c r="D108" i="6"/>
  <c r="C108" i="6"/>
  <c r="C108" i="6" a="1"/>
  <c r="B108" i="6"/>
  <c r="H107" i="6"/>
  <c r="G107" i="6"/>
  <c r="F107" i="6"/>
  <c r="E107" i="6"/>
  <c r="D107" i="6"/>
  <c r="C107" i="6"/>
  <c r="C107" i="6" a="1"/>
  <c r="B107" i="6"/>
  <c r="H106" i="6"/>
  <c r="G106" i="6"/>
  <c r="F106" i="6"/>
  <c r="E106" i="6"/>
  <c r="D106" i="6"/>
  <c r="C106" i="6"/>
  <c r="C106" i="6" a="1"/>
  <c r="B106" i="6"/>
  <c r="H105" i="6"/>
  <c r="G105" i="6"/>
  <c r="F105" i="6"/>
  <c r="E105" i="6"/>
  <c r="D105" i="6"/>
  <c r="C105" i="6"/>
  <c r="C105" i="6" a="1"/>
  <c r="B105" i="6"/>
  <c r="H104" i="6"/>
  <c r="G104" i="6"/>
  <c r="F104" i="6"/>
  <c r="E104" i="6"/>
  <c r="D104" i="6"/>
  <c r="C104" i="6"/>
  <c r="C104" i="6" a="1"/>
  <c r="B104" i="6"/>
  <c r="H103" i="6"/>
  <c r="G103" i="6"/>
  <c r="F103" i="6"/>
  <c r="E103" i="6"/>
  <c r="D103" i="6"/>
  <c r="C103" i="6"/>
  <c r="C103" i="6" a="1"/>
  <c r="B103" i="6"/>
  <c r="H102" i="6"/>
  <c r="G102" i="6"/>
  <c r="F102" i="6"/>
  <c r="E102" i="6"/>
  <c r="D102" i="6"/>
  <c r="C102" i="6"/>
  <c r="C102" i="6" a="1"/>
  <c r="B102" i="6"/>
  <c r="H101" i="6"/>
  <c r="G101" i="6"/>
  <c r="F101" i="6"/>
  <c r="E101" i="6"/>
  <c r="D101" i="6"/>
  <c r="C101" i="6"/>
  <c r="C101" i="6" a="1"/>
  <c r="B101" i="6"/>
  <c r="H100" i="6"/>
  <c r="G100" i="6"/>
  <c r="F100" i="6"/>
  <c r="E100" i="6"/>
  <c r="D100" i="6"/>
  <c r="C100" i="6"/>
  <c r="C100" i="6" a="1"/>
  <c r="B100" i="6"/>
  <c r="H99" i="6"/>
  <c r="G99" i="6"/>
  <c r="F99" i="6"/>
  <c r="E99" i="6"/>
  <c r="D99" i="6"/>
  <c r="C99" i="6"/>
  <c r="C99" i="6" a="1"/>
  <c r="B99" i="6"/>
  <c r="H98" i="6"/>
  <c r="G98" i="6"/>
  <c r="F98" i="6"/>
  <c r="E98" i="6"/>
  <c r="D98" i="6"/>
  <c r="C98" i="6"/>
  <c r="C98" i="6" a="1"/>
  <c r="B98" i="6"/>
  <c r="H97" i="6"/>
  <c r="G97" i="6"/>
  <c r="F97" i="6"/>
  <c r="E97" i="6"/>
  <c r="D97" i="6"/>
  <c r="C97" i="6"/>
  <c r="C97" i="6" a="1"/>
  <c r="B97" i="6"/>
  <c r="H96" i="6"/>
  <c r="G96" i="6"/>
  <c r="F96" i="6"/>
  <c r="E96" i="6"/>
  <c r="D96" i="6"/>
  <c r="C96" i="6"/>
  <c r="C96" i="6" a="1"/>
  <c r="B96" i="6"/>
  <c r="H95" i="6"/>
  <c r="G95" i="6"/>
  <c r="F95" i="6"/>
  <c r="E95" i="6"/>
  <c r="D95" i="6"/>
  <c r="C95" i="6"/>
  <c r="C95" i="6" a="1"/>
  <c r="B95" i="6"/>
  <c r="H94" i="6"/>
  <c r="G94" i="6"/>
  <c r="F94" i="6"/>
  <c r="E94" i="6"/>
  <c r="D94" i="6"/>
  <c r="C94" i="6"/>
  <c r="C94" i="6" a="1"/>
  <c r="B94" i="6"/>
  <c r="H93" i="6"/>
  <c r="G93" i="6"/>
  <c r="F93" i="6"/>
  <c r="E93" i="6"/>
  <c r="D93" i="6"/>
  <c r="C93" i="6"/>
  <c r="C93" i="6" a="1"/>
  <c r="B93" i="6"/>
  <c r="H92" i="6"/>
  <c r="G92" i="6"/>
  <c r="F92" i="6"/>
  <c r="E92" i="6"/>
  <c r="D92" i="6"/>
  <c r="C92" i="6"/>
  <c r="C92" i="6" a="1"/>
  <c r="B92" i="6"/>
  <c r="H91" i="6"/>
  <c r="G91" i="6"/>
  <c r="F91" i="6"/>
  <c r="E91" i="6"/>
  <c r="D91" i="6"/>
  <c r="C91" i="6"/>
  <c r="C91" i="6" a="1"/>
  <c r="B91" i="6"/>
  <c r="H90" i="6"/>
  <c r="G90" i="6"/>
  <c r="F90" i="6"/>
  <c r="E90" i="6"/>
  <c r="D90" i="6"/>
  <c r="C90" i="6"/>
  <c r="C90" i="6" a="1"/>
  <c r="B90" i="6"/>
  <c r="H89" i="6"/>
  <c r="G89" i="6"/>
  <c r="F89" i="6"/>
  <c r="E89" i="6"/>
  <c r="D89" i="6"/>
  <c r="C89" i="6"/>
  <c r="C89" i="6" a="1"/>
  <c r="B89" i="6"/>
  <c r="H88" i="6"/>
  <c r="G88" i="6"/>
  <c r="F88" i="6"/>
  <c r="E88" i="6"/>
  <c r="D88" i="6"/>
  <c r="C88" i="6"/>
  <c r="C88" i="6" a="1"/>
  <c r="B88" i="6"/>
  <c r="H87" i="6"/>
  <c r="G87" i="6"/>
  <c r="F87" i="6"/>
  <c r="E87" i="6"/>
  <c r="D87" i="6"/>
  <c r="C87" i="6"/>
  <c r="C87" i="6" a="1"/>
  <c r="B87" i="6"/>
  <c r="H86" i="6"/>
  <c r="G86" i="6"/>
  <c r="F86" i="6"/>
  <c r="E86" i="6"/>
  <c r="D86" i="6"/>
  <c r="C86" i="6"/>
  <c r="C86" i="6" a="1"/>
  <c r="B86" i="6"/>
  <c r="H85" i="6"/>
  <c r="G85" i="6"/>
  <c r="F85" i="6"/>
  <c r="E85" i="6"/>
  <c r="D85" i="6"/>
  <c r="C85" i="6"/>
  <c r="C85" i="6" a="1"/>
  <c r="B85" i="6"/>
  <c r="H84" i="6"/>
  <c r="G84" i="6"/>
  <c r="F84" i="6"/>
  <c r="E84" i="6"/>
  <c r="D84" i="6"/>
  <c r="C84" i="6"/>
  <c r="C84" i="6" a="1"/>
  <c r="B84" i="6"/>
  <c r="H83" i="6"/>
  <c r="G83" i="6"/>
  <c r="F83" i="6"/>
  <c r="E83" i="6"/>
  <c r="D83" i="6"/>
  <c r="C83" i="6"/>
  <c r="C83" i="6" a="1"/>
  <c r="B83" i="6"/>
  <c r="H82" i="6"/>
  <c r="G82" i="6"/>
  <c r="F82" i="6"/>
  <c r="E82" i="6"/>
  <c r="D82" i="6"/>
  <c r="C82" i="6"/>
  <c r="C82" i="6" a="1"/>
  <c r="B82" i="6"/>
  <c r="H81" i="6"/>
  <c r="G81" i="6"/>
  <c r="F81" i="6"/>
  <c r="E81" i="6"/>
  <c r="D81" i="6"/>
  <c r="C81" i="6"/>
  <c r="C81" i="6" a="1"/>
  <c r="B81" i="6"/>
  <c r="H80" i="6"/>
  <c r="G80" i="6"/>
  <c r="F80" i="6"/>
  <c r="E80" i="6"/>
  <c r="D80" i="6"/>
  <c r="C80" i="6"/>
  <c r="C80" i="6" a="1"/>
  <c r="B80" i="6"/>
  <c r="H79" i="6"/>
  <c r="G79" i="6"/>
  <c r="F79" i="6"/>
  <c r="E79" i="6"/>
  <c r="D79" i="6"/>
  <c r="C79" i="6"/>
  <c r="C79" i="6" a="1"/>
  <c r="B79" i="6"/>
  <c r="H78" i="6"/>
  <c r="G78" i="6"/>
  <c r="F78" i="6"/>
  <c r="E78" i="6"/>
  <c r="D78" i="6"/>
  <c r="C78" i="6"/>
  <c r="C78" i="6" a="1"/>
  <c r="B78" i="6"/>
  <c r="H77" i="6"/>
  <c r="G77" i="6"/>
  <c r="F77" i="6"/>
  <c r="E77" i="6"/>
  <c r="D77" i="6"/>
  <c r="C77" i="6"/>
  <c r="C77" i="6" a="1"/>
  <c r="B77" i="6"/>
  <c r="H76" i="6"/>
  <c r="G76" i="6"/>
  <c r="F76" i="6"/>
  <c r="E76" i="6"/>
  <c r="D76" i="6"/>
  <c r="C76" i="6"/>
  <c r="C76" i="6" a="1"/>
  <c r="B76" i="6"/>
  <c r="H75" i="6"/>
  <c r="G75" i="6"/>
  <c r="F75" i="6"/>
  <c r="E75" i="6"/>
  <c r="D75" i="6"/>
  <c r="C75" i="6"/>
  <c r="C75" i="6" a="1"/>
  <c r="B75" i="6"/>
  <c r="H74" i="6"/>
  <c r="G74" i="6"/>
  <c r="F74" i="6"/>
  <c r="E74" i="6"/>
  <c r="D74" i="6"/>
  <c r="C74" i="6"/>
  <c r="C74" i="6" a="1"/>
  <c r="B74" i="6"/>
  <c r="H73" i="6"/>
  <c r="G73" i="6"/>
  <c r="F73" i="6"/>
  <c r="E73" i="6"/>
  <c r="D73" i="6"/>
  <c r="C73" i="6"/>
  <c r="C73" i="6" a="1"/>
  <c r="B73" i="6"/>
  <c r="H72" i="6"/>
  <c r="G72" i="6"/>
  <c r="F72" i="6"/>
  <c r="E72" i="6"/>
  <c r="D72" i="6"/>
  <c r="C72" i="6"/>
  <c r="C72" i="6" a="1"/>
  <c r="B72" i="6"/>
  <c r="H71" i="6"/>
  <c r="G71" i="6"/>
  <c r="F71" i="6"/>
  <c r="E71" i="6"/>
  <c r="D71" i="6"/>
  <c r="C71" i="6"/>
  <c r="C71" i="6" a="1"/>
  <c r="B71" i="6"/>
  <c r="H70" i="6"/>
  <c r="G70" i="6"/>
  <c r="F70" i="6"/>
  <c r="E70" i="6"/>
  <c r="D70" i="6"/>
  <c r="C70" i="6"/>
  <c r="C70" i="6" a="1"/>
  <c r="B70" i="6"/>
  <c r="H69" i="6"/>
  <c r="G69" i="6"/>
  <c r="F69" i="6"/>
  <c r="E69" i="6"/>
  <c r="D69" i="6"/>
  <c r="C69" i="6"/>
  <c r="C69" i="6" a="1"/>
  <c r="B69" i="6"/>
  <c r="H68" i="6"/>
  <c r="G68" i="6"/>
  <c r="F68" i="6"/>
  <c r="E68" i="6"/>
  <c r="D68" i="6"/>
  <c r="C68" i="6"/>
  <c r="C68" i="6" a="1"/>
  <c r="B68" i="6"/>
  <c r="H67" i="6"/>
  <c r="G67" i="6"/>
  <c r="F67" i="6"/>
  <c r="E67" i="6"/>
  <c r="D67" i="6"/>
  <c r="C67" i="6"/>
  <c r="C67" i="6" a="1"/>
  <c r="B67" i="6"/>
  <c r="H66" i="6"/>
  <c r="G66" i="6"/>
  <c r="F66" i="6"/>
  <c r="E66" i="6"/>
  <c r="D66" i="6"/>
  <c r="C66" i="6"/>
  <c r="C66" i="6" a="1"/>
  <c r="B66" i="6"/>
  <c r="H65" i="6"/>
  <c r="G65" i="6"/>
  <c r="F65" i="6"/>
  <c r="E65" i="6"/>
  <c r="D65" i="6"/>
  <c r="C65" i="6"/>
  <c r="C65" i="6" a="1"/>
  <c r="B65" i="6"/>
  <c r="H64" i="6"/>
  <c r="G64" i="6"/>
  <c r="F64" i="6"/>
  <c r="E64" i="6"/>
  <c r="D64" i="6"/>
  <c r="C64" i="6"/>
  <c r="C64" i="6" a="1"/>
  <c r="B64" i="6"/>
  <c r="H63" i="6"/>
  <c r="G63" i="6"/>
  <c r="F63" i="6"/>
  <c r="E63" i="6"/>
  <c r="D63" i="6"/>
  <c r="C63" i="6"/>
  <c r="C63" i="6" a="1"/>
  <c r="B63" i="6"/>
  <c r="H62" i="6"/>
  <c r="G62" i="6"/>
  <c r="F62" i="6"/>
  <c r="E62" i="6"/>
  <c r="D62" i="6"/>
  <c r="C62" i="6"/>
  <c r="C62" i="6" a="1"/>
  <c r="B62" i="6"/>
  <c r="H61" i="6"/>
  <c r="G61" i="6"/>
  <c r="F61" i="6"/>
  <c r="E61" i="6"/>
  <c r="D61" i="6"/>
  <c r="C61" i="6"/>
  <c r="C61" i="6" a="1"/>
  <c r="B61" i="6"/>
  <c r="H60" i="6"/>
  <c r="G60" i="6"/>
  <c r="F60" i="6"/>
  <c r="E60" i="6"/>
  <c r="D60" i="6"/>
  <c r="C60" i="6"/>
  <c r="C60" i="6" a="1"/>
  <c r="B60" i="6"/>
  <c r="H59" i="6"/>
  <c r="G59" i="6"/>
  <c r="F59" i="6"/>
  <c r="E59" i="6"/>
  <c r="D59" i="6"/>
  <c r="C59" i="6"/>
  <c r="C59" i="6" a="1"/>
  <c r="B59" i="6"/>
  <c r="H58" i="6"/>
  <c r="G58" i="6"/>
  <c r="F58" i="6"/>
  <c r="E58" i="6"/>
  <c r="D58" i="6"/>
  <c r="C58" i="6"/>
  <c r="C58" i="6" a="1"/>
  <c r="B58" i="6"/>
  <c r="H57" i="6"/>
  <c r="G57" i="6"/>
  <c r="F57" i="6"/>
  <c r="E57" i="6"/>
  <c r="D57" i="6"/>
  <c r="C57" i="6"/>
  <c r="C57" i="6" a="1"/>
  <c r="B57" i="6"/>
  <c r="H56" i="6"/>
  <c r="G56" i="6"/>
  <c r="F56" i="6"/>
  <c r="E56" i="6"/>
  <c r="D56" i="6"/>
  <c r="C56" i="6"/>
  <c r="C56" i="6" a="1"/>
  <c r="B56" i="6"/>
  <c r="H55" i="6"/>
  <c r="G55" i="6"/>
  <c r="F55" i="6"/>
  <c r="E55" i="6"/>
  <c r="D55" i="6"/>
  <c r="C55" i="6"/>
  <c r="C55" i="6" a="1"/>
  <c r="B55" i="6"/>
  <c r="H54" i="6"/>
  <c r="G54" i="6"/>
  <c r="F54" i="6"/>
  <c r="E54" i="6"/>
  <c r="D54" i="6"/>
  <c r="C54" i="6"/>
  <c r="C54" i="6" a="1"/>
  <c r="B54" i="6"/>
  <c r="H53" i="6"/>
  <c r="G53" i="6"/>
  <c r="F53" i="6"/>
  <c r="E53" i="6"/>
  <c r="D53" i="6"/>
  <c r="C53" i="6"/>
  <c r="C53" i="6" a="1"/>
  <c r="B53" i="6"/>
  <c r="H52" i="6"/>
  <c r="G52" i="6"/>
  <c r="F52" i="6"/>
  <c r="E52" i="6"/>
  <c r="D52" i="6"/>
  <c r="C52" i="6"/>
  <c r="C52" i="6" a="1"/>
  <c r="B52" i="6"/>
  <c r="H51" i="6"/>
  <c r="G51" i="6"/>
  <c r="F51" i="6"/>
  <c r="E51" i="6"/>
  <c r="D51" i="6"/>
  <c r="C51" i="6"/>
  <c r="C51" i="6" a="1"/>
  <c r="B51" i="6"/>
  <c r="H50" i="6"/>
  <c r="G50" i="6"/>
  <c r="F50" i="6"/>
  <c r="E50" i="6"/>
  <c r="D50" i="6"/>
  <c r="C50" i="6"/>
  <c r="C50" i="6" a="1"/>
  <c r="B50" i="6"/>
  <c r="H49" i="6"/>
  <c r="G49" i="6"/>
  <c r="F49" i="6"/>
  <c r="E49" i="6"/>
  <c r="D49" i="6"/>
  <c r="C49" i="6"/>
  <c r="C49" i="6" a="1"/>
  <c r="B49" i="6"/>
  <c r="H48" i="6"/>
  <c r="G48" i="6"/>
  <c r="F48" i="6"/>
  <c r="E48" i="6"/>
  <c r="D48" i="6"/>
  <c r="C48" i="6"/>
  <c r="C48" i="6" a="1"/>
  <c r="B48" i="6"/>
  <c r="H47" i="6"/>
  <c r="G47" i="6"/>
  <c r="F47" i="6"/>
  <c r="E47" i="6"/>
  <c r="D47" i="6"/>
  <c r="C47" i="6"/>
  <c r="C47" i="6" a="1"/>
  <c r="B47" i="6"/>
  <c r="H46" i="6"/>
  <c r="G46" i="6"/>
  <c r="F46" i="6"/>
  <c r="E46" i="6"/>
  <c r="D46" i="6"/>
  <c r="C46" i="6"/>
  <c r="C46" i="6" a="1"/>
  <c r="B46" i="6"/>
  <c r="H45" i="6"/>
  <c r="G45" i="6"/>
  <c r="F45" i="6"/>
  <c r="E45" i="6"/>
  <c r="D45" i="6"/>
  <c r="C45" i="6"/>
  <c r="C45" i="6" a="1"/>
  <c r="B45" i="6"/>
  <c r="H44" i="6"/>
  <c r="G44" i="6"/>
  <c r="F44" i="6"/>
  <c r="E44" i="6"/>
  <c r="D44" i="6"/>
  <c r="C44" i="6"/>
  <c r="C44" i="6" a="1"/>
  <c r="B44" i="6"/>
  <c r="H43" i="6"/>
  <c r="G43" i="6"/>
  <c r="F43" i="6"/>
  <c r="E43" i="6"/>
  <c r="D43" i="6"/>
  <c r="C43" i="6"/>
  <c r="C43" i="6" a="1"/>
  <c r="B43" i="6"/>
  <c r="H42" i="6"/>
  <c r="G42" i="6"/>
  <c r="F42" i="6"/>
  <c r="E42" i="6"/>
  <c r="D42" i="6"/>
  <c r="C42" i="6"/>
  <c r="C42" i="6" a="1"/>
  <c r="B42" i="6"/>
  <c r="H41" i="6"/>
  <c r="G41" i="6"/>
  <c r="F41" i="6"/>
  <c r="E41" i="6"/>
  <c r="D41" i="6"/>
  <c r="C41" i="6"/>
  <c r="C41" i="6" a="1"/>
  <c r="B41" i="6"/>
  <c r="H40" i="6"/>
  <c r="G40" i="6"/>
  <c r="F40" i="6"/>
  <c r="E40" i="6"/>
  <c r="D40" i="6"/>
  <c r="C40" i="6"/>
  <c r="C40" i="6" a="1"/>
  <c r="B40" i="6"/>
  <c r="H39" i="6"/>
  <c r="G39" i="6"/>
  <c r="F39" i="6"/>
  <c r="E39" i="6"/>
  <c r="D39" i="6"/>
  <c r="C39" i="6"/>
  <c r="C39" i="6" a="1"/>
  <c r="B39" i="6"/>
  <c r="H38" i="6"/>
  <c r="G38" i="6"/>
  <c r="F38" i="6"/>
  <c r="E38" i="6"/>
  <c r="D38" i="6"/>
  <c r="C38" i="6"/>
  <c r="C38" i="6" a="1"/>
  <c r="B38" i="6"/>
  <c r="H37" i="6"/>
  <c r="G37" i="6"/>
  <c r="F37" i="6"/>
  <c r="E37" i="6"/>
  <c r="D37" i="6"/>
  <c r="C37" i="6"/>
  <c r="C37" i="6" a="1"/>
  <c r="B37" i="6"/>
  <c r="H36" i="6"/>
  <c r="G36" i="6"/>
  <c r="F36" i="6"/>
  <c r="E36" i="6"/>
  <c r="D36" i="6"/>
  <c r="C36" i="6"/>
  <c r="C36" i="6" a="1"/>
  <c r="B36" i="6"/>
  <c r="H35" i="6"/>
  <c r="G35" i="6"/>
  <c r="F35" i="6"/>
  <c r="E35" i="6"/>
  <c r="D35" i="6"/>
  <c r="C35" i="6"/>
  <c r="C35" i="6" a="1"/>
  <c r="B35" i="6"/>
  <c r="H34" i="6"/>
  <c r="G34" i="6"/>
  <c r="F34" i="6"/>
  <c r="E34" i="6"/>
  <c r="D34" i="6"/>
  <c r="C34" i="6"/>
  <c r="C34" i="6" a="1"/>
  <c r="B34" i="6"/>
  <c r="H33" i="6"/>
  <c r="G33" i="6"/>
  <c r="F33" i="6"/>
  <c r="E33" i="6"/>
  <c r="D33" i="6"/>
  <c r="C33" i="6"/>
  <c r="C33" i="6" a="1"/>
  <c r="B33" i="6"/>
  <c r="H32" i="6"/>
  <c r="G32" i="6"/>
  <c r="F32" i="6"/>
  <c r="E32" i="6"/>
  <c r="D32" i="6"/>
  <c r="C32" i="6"/>
  <c r="C32" i="6" a="1"/>
  <c r="B32" i="6"/>
  <c r="H31" i="6"/>
  <c r="G31" i="6"/>
  <c r="F31" i="6"/>
  <c r="E31" i="6"/>
  <c r="D31" i="6"/>
  <c r="C31" i="6"/>
  <c r="C31" i="6" a="1"/>
  <c r="B31" i="6"/>
  <c r="H30" i="6"/>
  <c r="G30" i="6"/>
  <c r="F30" i="6"/>
  <c r="E30" i="6"/>
  <c r="D30" i="6"/>
  <c r="C30" i="6"/>
  <c r="C30" i="6" a="1"/>
  <c r="B30" i="6"/>
  <c r="H29" i="6"/>
  <c r="G29" i="6"/>
  <c r="F29" i="6"/>
  <c r="E29" i="6"/>
  <c r="D29" i="6"/>
  <c r="C29" i="6"/>
  <c r="C29" i="6" a="1"/>
  <c r="B29" i="6"/>
  <c r="H28" i="6"/>
  <c r="G28" i="6"/>
  <c r="F28" i="6"/>
  <c r="E28" i="6"/>
  <c r="D28" i="6"/>
  <c r="C28" i="6"/>
  <c r="C28" i="6" a="1"/>
  <c r="B28" i="6"/>
  <c r="H27" i="6"/>
  <c r="G27" i="6"/>
  <c r="F27" i="6"/>
  <c r="E27" i="6"/>
  <c r="D27" i="6"/>
  <c r="C27" i="6"/>
  <c r="C27" i="6" a="1"/>
  <c r="B27" i="6"/>
  <c r="H26" i="6"/>
  <c r="G26" i="6"/>
  <c r="F26" i="6"/>
  <c r="E26" i="6"/>
  <c r="D26" i="6"/>
  <c r="C26" i="6"/>
  <c r="C26" i="6" a="1"/>
  <c r="B26" i="6"/>
  <c r="H25" i="6"/>
  <c r="G25" i="6"/>
  <c r="F25" i="6"/>
  <c r="E25" i="6"/>
  <c r="D25" i="6"/>
  <c r="C25" i="6"/>
  <c r="C25" i="6" a="1"/>
  <c r="B25" i="6"/>
  <c r="H24" i="6"/>
  <c r="G24" i="6"/>
  <c r="F24" i="6"/>
  <c r="E24" i="6"/>
  <c r="D24" i="6"/>
  <c r="C24" i="6"/>
  <c r="C24" i="6" a="1"/>
  <c r="B24" i="6"/>
  <c r="H23" i="6"/>
  <c r="G23" i="6"/>
  <c r="F23" i="6"/>
  <c r="E23" i="6"/>
  <c r="D23" i="6"/>
  <c r="C23" i="6"/>
  <c r="C23" i="6" a="1"/>
  <c r="B23" i="6"/>
  <c r="H22" i="6"/>
  <c r="G22" i="6"/>
  <c r="F22" i="6"/>
  <c r="E22" i="6"/>
  <c r="D22" i="6"/>
  <c r="C22" i="6"/>
  <c r="C22" i="6" a="1"/>
  <c r="B22" i="6"/>
  <c r="H21" i="6"/>
  <c r="G21" i="6"/>
  <c r="F21" i="6"/>
  <c r="E21" i="6"/>
  <c r="D21" i="6"/>
  <c r="C21" i="6"/>
  <c r="C21" i="6" a="1"/>
  <c r="B21" i="6"/>
  <c r="H20" i="6"/>
  <c r="G20" i="6"/>
  <c r="F20" i="6"/>
  <c r="E20" i="6"/>
  <c r="D20" i="6"/>
  <c r="C20" i="6"/>
  <c r="C20" i="6" a="1"/>
  <c r="B20" i="6"/>
  <c r="H19" i="6"/>
  <c r="G19" i="6"/>
  <c r="F19" i="6"/>
  <c r="E19" i="6"/>
  <c r="D19" i="6"/>
  <c r="C19" i="6"/>
  <c r="C19" i="6" a="1"/>
  <c r="B19" i="6"/>
  <c r="H18" i="6"/>
  <c r="G18" i="6"/>
  <c r="F18" i="6"/>
  <c r="E18" i="6"/>
  <c r="D18" i="6"/>
  <c r="C18" i="6"/>
  <c r="C18" i="6" a="1"/>
  <c r="B18" i="6"/>
  <c r="H17" i="6"/>
  <c r="G17" i="6"/>
  <c r="F17" i="6"/>
  <c r="E17" i="6"/>
  <c r="D17" i="6"/>
  <c r="C17" i="6"/>
  <c r="C17" i="6" a="1"/>
  <c r="B17" i="6"/>
  <c r="H16" i="6"/>
  <c r="G16" i="6"/>
  <c r="F16" i="6"/>
  <c r="E16" i="6"/>
  <c r="D16" i="6"/>
  <c r="C16" i="6"/>
  <c r="C16" i="6" a="1"/>
  <c r="B16" i="6"/>
  <c r="H15" i="6"/>
  <c r="G15" i="6"/>
  <c r="F15" i="6"/>
  <c r="E15" i="6"/>
  <c r="D15" i="6"/>
  <c r="C15" i="6"/>
  <c r="C15" i="6" a="1"/>
  <c r="B15" i="6"/>
  <c r="H14" i="6"/>
  <c r="G14" i="6"/>
  <c r="F14" i="6"/>
  <c r="E14" i="6"/>
  <c r="D14" i="6"/>
  <c r="C14" i="6"/>
  <c r="C14" i="6" a="1"/>
  <c r="B14" i="6"/>
  <c r="H13" i="6"/>
  <c r="G13" i="6"/>
  <c r="F13" i="6"/>
  <c r="E13" i="6"/>
  <c r="D13" i="6"/>
  <c r="C13" i="6"/>
  <c r="C13" i="6" a="1"/>
  <c r="B13" i="6"/>
  <c r="H12" i="6"/>
  <c r="G12" i="6"/>
  <c r="F12" i="6"/>
  <c r="E12" i="6"/>
  <c r="D12" i="6"/>
  <c r="C12" i="6"/>
  <c r="C12" i="6" a="1"/>
  <c r="B12" i="6"/>
  <c r="H11" i="6"/>
  <c r="G11" i="6"/>
  <c r="F11" i="6"/>
  <c r="E11" i="6"/>
  <c r="D11" i="6"/>
  <c r="C11" i="6"/>
  <c r="C11" i="6" a="1"/>
  <c r="B11" i="6"/>
  <c r="H10" i="6"/>
  <c r="G10" i="6"/>
  <c r="F10" i="6"/>
  <c r="E10" i="6"/>
  <c r="D10" i="6"/>
  <c r="C10" i="6"/>
  <c r="C10" i="6" a="1"/>
  <c r="B10" i="6"/>
  <c r="H9" i="6"/>
  <c r="G9" i="6"/>
  <c r="F9" i="6"/>
  <c r="E9" i="6"/>
  <c r="D9" i="6"/>
  <c r="C9" i="6"/>
  <c r="C9" i="6" a="1"/>
  <c r="B9" i="6"/>
  <c r="H8" i="6"/>
  <c r="G8" i="6"/>
  <c r="F8" i="6"/>
  <c r="E8" i="6"/>
  <c r="D8" i="6"/>
  <c r="C8" i="6"/>
  <c r="C8" i="6" a="1"/>
  <c r="B8" i="6"/>
  <c r="H7" i="6"/>
  <c r="G7" i="6"/>
  <c r="F7" i="6"/>
  <c r="E7" i="6"/>
  <c r="D7" i="6"/>
  <c r="C7" i="6"/>
  <c r="C7" i="6" a="1"/>
  <c r="B7" i="6"/>
  <c r="H6" i="6"/>
  <c r="G6" i="6"/>
  <c r="F6" i="6"/>
  <c r="E6" i="6"/>
  <c r="D6" i="6"/>
  <c r="C6" i="6"/>
  <c r="C6" i="6" a="1"/>
  <c r="B6" i="6"/>
  <c r="H5" i="6"/>
  <c r="G5" i="6"/>
  <c r="F5" i="6"/>
  <c r="E5" i="6"/>
  <c r="D5" i="6"/>
  <c r="C5" i="6"/>
  <c r="C5" i="6" a="1"/>
  <c r="B5" i="6"/>
  <c r="H4" i="6"/>
  <c r="G4" i="6"/>
  <c r="F4" i="6"/>
  <c r="E4" i="6"/>
  <c r="D4" i="6"/>
  <c r="C4" i="6"/>
  <c r="C4" i="6" a="1"/>
  <c r="B4" i="6"/>
  <c r="H3" i="6"/>
  <c r="G3" i="6"/>
  <c r="F3" i="6"/>
  <c r="E3" i="6"/>
  <c r="D3" i="6"/>
  <c r="C3" i="6"/>
  <c r="C3" i="6" a="1"/>
  <c r="B3" i="6"/>
  <c r="H2" i="6"/>
  <c r="G2" i="6"/>
  <c r="F2" i="6"/>
  <c r="E2" i="6"/>
  <c r="D2" i="6"/>
  <c r="C2" i="6"/>
  <c r="C2" i="6" a="1"/>
  <c r="B2" i="6"/>
  <c r="D122" i="5"/>
  <c r="C122" i="5"/>
  <c r="B122" i="5"/>
  <c r="D121" i="5"/>
  <c r="C121" i="5"/>
  <c r="B121" i="5"/>
  <c r="D120" i="5"/>
  <c r="C120" i="5"/>
  <c r="B120" i="5"/>
  <c r="D119" i="5"/>
  <c r="C119" i="5"/>
  <c r="B119" i="5"/>
  <c r="D118" i="5"/>
  <c r="C118" i="5"/>
  <c r="B118" i="5"/>
  <c r="D117" i="5"/>
  <c r="C117" i="5"/>
  <c r="B117" i="5"/>
  <c r="D116" i="5"/>
  <c r="C116" i="5"/>
  <c r="B116" i="5"/>
  <c r="D115" i="5"/>
  <c r="C115" i="5"/>
  <c r="B115" i="5"/>
  <c r="D114" i="5"/>
  <c r="C114" i="5"/>
  <c r="B114" i="5"/>
  <c r="D113" i="5"/>
  <c r="C113" i="5"/>
  <c r="B113" i="5"/>
  <c r="D112" i="5"/>
  <c r="C112" i="5"/>
  <c r="B112" i="5"/>
  <c r="D111" i="5"/>
  <c r="C111" i="5"/>
  <c r="B111" i="5"/>
  <c r="D110" i="5"/>
  <c r="C110" i="5"/>
  <c r="B110" i="5"/>
  <c r="D109" i="5"/>
  <c r="C109" i="5"/>
  <c r="B109" i="5"/>
  <c r="D108" i="5"/>
  <c r="C108" i="5"/>
  <c r="B108" i="5"/>
  <c r="D107" i="5"/>
  <c r="C107" i="5"/>
  <c r="B107" i="5"/>
  <c r="D106" i="5"/>
  <c r="C106" i="5"/>
  <c r="B106" i="5"/>
  <c r="D105" i="5"/>
  <c r="C105" i="5"/>
  <c r="B105" i="5"/>
  <c r="D104" i="5"/>
  <c r="C104" i="5"/>
  <c r="B104" i="5"/>
  <c r="D103" i="5"/>
  <c r="C103" i="5"/>
  <c r="B103" i="5"/>
  <c r="D102" i="5"/>
  <c r="C102" i="5"/>
  <c r="B102" i="5"/>
  <c r="D101" i="5"/>
  <c r="C101" i="5"/>
  <c r="B101" i="5"/>
  <c r="D100" i="5"/>
  <c r="C100" i="5"/>
  <c r="B100" i="5"/>
  <c r="D99" i="5"/>
  <c r="C99" i="5"/>
  <c r="B99" i="5"/>
  <c r="D98" i="5"/>
  <c r="C98" i="5"/>
  <c r="B98" i="5"/>
  <c r="D97" i="5"/>
  <c r="C97" i="5"/>
  <c r="B97" i="5"/>
  <c r="D96" i="5"/>
  <c r="C96" i="5"/>
  <c r="B96" i="5"/>
  <c r="D95" i="5"/>
  <c r="C95" i="5"/>
  <c r="B95" i="5"/>
  <c r="D94" i="5"/>
  <c r="C94" i="5"/>
  <c r="B94" i="5"/>
  <c r="D93" i="5"/>
  <c r="C93" i="5"/>
  <c r="B93" i="5"/>
  <c r="D92" i="5"/>
  <c r="C92" i="5"/>
  <c r="B92" i="5"/>
  <c r="D91" i="5"/>
  <c r="C91" i="5"/>
  <c r="B91" i="5"/>
  <c r="D90" i="5"/>
  <c r="C90" i="5"/>
  <c r="B90" i="5"/>
  <c r="D89" i="5"/>
  <c r="C89" i="5"/>
  <c r="B89" i="5"/>
  <c r="D88" i="5"/>
  <c r="C88" i="5"/>
  <c r="B88" i="5"/>
  <c r="D87" i="5"/>
  <c r="C87" i="5"/>
  <c r="B87" i="5"/>
  <c r="D86" i="5"/>
  <c r="C86" i="5"/>
  <c r="B86" i="5"/>
  <c r="D85" i="5"/>
  <c r="C85" i="5"/>
  <c r="B85" i="5"/>
  <c r="D84" i="5"/>
  <c r="C84" i="5"/>
  <c r="B84" i="5"/>
  <c r="D83" i="5"/>
  <c r="C83" i="5"/>
  <c r="B83" i="5"/>
  <c r="D82" i="5"/>
  <c r="C82" i="5"/>
  <c r="B82" i="5"/>
  <c r="D81" i="5"/>
  <c r="C81" i="5"/>
  <c r="B81" i="5"/>
  <c r="D80" i="5"/>
  <c r="C80" i="5"/>
  <c r="B80" i="5"/>
  <c r="D79" i="5"/>
  <c r="C79" i="5"/>
  <c r="B79" i="5"/>
  <c r="D78" i="5"/>
  <c r="C78" i="5"/>
  <c r="B78" i="5"/>
  <c r="D77" i="5"/>
  <c r="C77" i="5"/>
  <c r="B77" i="5"/>
  <c r="D76" i="5"/>
  <c r="C76" i="5"/>
  <c r="B76" i="5"/>
  <c r="D75" i="5"/>
  <c r="C75" i="5"/>
  <c r="B75" i="5"/>
  <c r="D74" i="5"/>
  <c r="C74" i="5"/>
  <c r="B74" i="5"/>
  <c r="D73" i="5"/>
  <c r="C73" i="5"/>
  <c r="B73" i="5"/>
  <c r="D72" i="5"/>
  <c r="C72" i="5"/>
  <c r="B72" i="5"/>
  <c r="D71" i="5"/>
  <c r="C71" i="5"/>
  <c r="B71" i="5"/>
  <c r="D70" i="5"/>
  <c r="C70" i="5"/>
  <c r="B70" i="5"/>
  <c r="D69" i="5"/>
  <c r="C69" i="5"/>
  <c r="B69" i="5"/>
  <c r="D68" i="5"/>
  <c r="C68" i="5"/>
  <c r="B68" i="5"/>
  <c r="D67" i="5"/>
  <c r="C67" i="5"/>
  <c r="B67" i="5"/>
  <c r="D66" i="5"/>
  <c r="C66" i="5"/>
  <c r="B66" i="5"/>
  <c r="D65" i="5"/>
  <c r="C65" i="5"/>
  <c r="B65" i="5"/>
  <c r="D64" i="5"/>
  <c r="C64" i="5"/>
  <c r="B64" i="5"/>
  <c r="D63" i="5"/>
  <c r="C63" i="5"/>
  <c r="B63" i="5"/>
  <c r="D62" i="5"/>
  <c r="C62" i="5"/>
  <c r="B62" i="5"/>
  <c r="D61" i="5"/>
  <c r="C61" i="5"/>
  <c r="B61" i="5"/>
  <c r="D60" i="5"/>
  <c r="C60" i="5"/>
  <c r="B60" i="5"/>
  <c r="D59" i="5"/>
  <c r="C59" i="5"/>
  <c r="B59" i="5"/>
  <c r="D58" i="5"/>
  <c r="C58" i="5"/>
  <c r="B58" i="5"/>
  <c r="D57" i="5"/>
  <c r="C57" i="5"/>
  <c r="B57" i="5"/>
  <c r="D56" i="5"/>
  <c r="C56" i="5"/>
  <c r="B56" i="5"/>
  <c r="D55" i="5"/>
  <c r="C55" i="5"/>
  <c r="B55" i="5"/>
  <c r="D54" i="5"/>
  <c r="C54" i="5"/>
  <c r="B54" i="5"/>
  <c r="D53" i="5"/>
  <c r="C53" i="5"/>
  <c r="B53" i="5"/>
  <c r="D52" i="5"/>
  <c r="C52" i="5"/>
  <c r="B52" i="5"/>
  <c r="D51" i="5"/>
  <c r="C51" i="5"/>
  <c r="B51" i="5"/>
  <c r="D50" i="5"/>
  <c r="C50" i="5"/>
  <c r="B50" i="5"/>
  <c r="D49" i="5"/>
  <c r="C49" i="5"/>
  <c r="B49" i="5"/>
  <c r="D48" i="5"/>
  <c r="C48" i="5"/>
  <c r="B48" i="5"/>
  <c r="D47" i="5"/>
  <c r="C47" i="5"/>
  <c r="B47" i="5"/>
  <c r="D46" i="5"/>
  <c r="C46" i="5"/>
  <c r="B46" i="5"/>
  <c r="D45" i="5"/>
  <c r="C45" i="5"/>
  <c r="B45" i="5"/>
  <c r="D44" i="5"/>
  <c r="C44" i="5"/>
  <c r="B44" i="5"/>
  <c r="D43" i="5"/>
  <c r="C43" i="5"/>
  <c r="B43" i="5"/>
  <c r="D42" i="5"/>
  <c r="C42" i="5"/>
  <c r="B42" i="5"/>
  <c r="D41" i="5"/>
  <c r="C41" i="5"/>
  <c r="B41" i="5"/>
  <c r="D40" i="5"/>
  <c r="C40" i="5"/>
  <c r="B40" i="5"/>
  <c r="D39" i="5"/>
  <c r="C39" i="5"/>
  <c r="B39" i="5"/>
  <c r="D38" i="5"/>
  <c r="C38" i="5"/>
  <c r="B38" i="5"/>
  <c r="D37" i="5"/>
  <c r="C37" i="5"/>
  <c r="B37" i="5"/>
  <c r="D36" i="5"/>
  <c r="C36" i="5"/>
  <c r="B36" i="5"/>
  <c r="D35" i="5"/>
  <c r="C35" i="5"/>
  <c r="B35" i="5"/>
  <c r="D34" i="5"/>
  <c r="C34" i="5"/>
  <c r="B34" i="5"/>
  <c r="D33" i="5"/>
  <c r="C33" i="5"/>
  <c r="B33" i="5"/>
  <c r="D32" i="5"/>
  <c r="C32" i="5"/>
  <c r="B32" i="5"/>
  <c r="D31" i="5"/>
  <c r="C31" i="5"/>
  <c r="B31" i="5"/>
  <c r="D30" i="5"/>
  <c r="C30" i="5"/>
  <c r="B30" i="5"/>
  <c r="D29" i="5"/>
  <c r="C29" i="5"/>
  <c r="B29" i="5"/>
  <c r="D28" i="5"/>
  <c r="C28" i="5"/>
  <c r="B28" i="5"/>
  <c r="D27" i="5"/>
  <c r="C27" i="5"/>
  <c r="B27" i="5"/>
  <c r="D26" i="5"/>
  <c r="C26" i="5"/>
  <c r="B26" i="5"/>
  <c r="D25" i="5"/>
  <c r="C25" i="5"/>
  <c r="B25" i="5"/>
  <c r="D24" i="5"/>
  <c r="C24" i="5"/>
  <c r="B24" i="5"/>
  <c r="D23" i="5"/>
  <c r="C23" i="5"/>
  <c r="B23" i="5"/>
  <c r="D22" i="5"/>
  <c r="C22" i="5"/>
  <c r="B22" i="5"/>
  <c r="D21" i="5"/>
  <c r="C21" i="5"/>
  <c r="B21" i="5"/>
  <c r="D20" i="5"/>
  <c r="C20" i="5"/>
  <c r="B20" i="5"/>
  <c r="D19" i="5"/>
  <c r="C19" i="5"/>
  <c r="B19" i="5"/>
  <c r="D18" i="5"/>
  <c r="C18" i="5"/>
  <c r="B18" i="5"/>
  <c r="D17" i="5"/>
  <c r="C17" i="5"/>
  <c r="B17" i="5"/>
  <c r="D16" i="5"/>
  <c r="C16" i="5"/>
  <c r="B16" i="5"/>
  <c r="D15" i="5"/>
  <c r="C15" i="5"/>
  <c r="B15" i="5"/>
  <c r="D14" i="5"/>
  <c r="C14" i="5"/>
  <c r="B14" i="5"/>
  <c r="D13" i="5"/>
  <c r="C13" i="5"/>
  <c r="B13" i="5"/>
  <c r="D12" i="5"/>
  <c r="C12" i="5"/>
  <c r="B12" i="5"/>
  <c r="D11" i="5"/>
  <c r="C11" i="5"/>
  <c r="B11" i="5"/>
  <c r="D10" i="5"/>
  <c r="C10" i="5"/>
  <c r="B10" i="5"/>
  <c r="D9" i="5"/>
  <c r="C9" i="5"/>
  <c r="B9" i="5"/>
  <c r="D8" i="5"/>
  <c r="C8" i="5"/>
  <c r="B8" i="5"/>
  <c r="D7" i="5"/>
  <c r="C7" i="5"/>
  <c r="B7" i="5"/>
  <c r="D6" i="5"/>
  <c r="C6" i="5"/>
  <c r="B6" i="5"/>
  <c r="D5" i="5"/>
  <c r="C5" i="5"/>
  <c r="B5" i="5"/>
  <c r="D4" i="5"/>
  <c r="C4" i="5"/>
  <c r="B4" i="5"/>
  <c r="D3" i="5"/>
  <c r="C3" i="5"/>
  <c r="B3" i="5"/>
  <c r="D2" i="5"/>
  <c r="C2" i="5"/>
  <c r="B2" i="5"/>
  <c r="E131" i="8"/>
  <c r="G122" i="8"/>
  <c r="F122" i="8"/>
  <c r="D122" i="8"/>
  <c r="G121" i="8"/>
  <c r="F121" i="8"/>
  <c r="D121" i="8"/>
  <c r="G120" i="8"/>
  <c r="F120" i="8"/>
  <c r="D120" i="8"/>
  <c r="G119" i="8"/>
  <c r="F119" i="8"/>
  <c r="D119" i="8"/>
  <c r="G118" i="8"/>
  <c r="F118" i="8"/>
  <c r="D118" i="8"/>
  <c r="G117" i="8"/>
  <c r="F117" i="8"/>
  <c r="D117" i="8"/>
  <c r="G116" i="8"/>
  <c r="F116" i="8"/>
  <c r="D116" i="8"/>
  <c r="G115" i="8"/>
  <c r="F115" i="8"/>
  <c r="D115" i="8"/>
  <c r="G114" i="8"/>
  <c r="F114" i="8"/>
  <c r="D114" i="8"/>
  <c r="G113" i="8"/>
  <c r="F113" i="8"/>
  <c r="D113" i="8"/>
  <c r="G112" i="8"/>
  <c r="F112" i="8"/>
  <c r="D112" i="8"/>
  <c r="G111" i="8"/>
  <c r="F111" i="8"/>
  <c r="D111" i="8"/>
  <c r="G110" i="8"/>
  <c r="F110" i="8"/>
  <c r="D110" i="8"/>
  <c r="G109" i="8"/>
  <c r="F109" i="8"/>
  <c r="D109" i="8"/>
  <c r="G108" i="8"/>
  <c r="F108" i="8"/>
  <c r="D108" i="8"/>
  <c r="G107" i="8"/>
  <c r="F107" i="8"/>
  <c r="D107" i="8"/>
  <c r="G106" i="8"/>
  <c r="F106" i="8"/>
  <c r="D106" i="8"/>
  <c r="G105" i="8"/>
  <c r="F105" i="8"/>
  <c r="D105" i="8"/>
  <c r="G104" i="8"/>
  <c r="F104" i="8"/>
  <c r="D104" i="8"/>
  <c r="G103" i="8"/>
  <c r="F103" i="8"/>
  <c r="D103" i="8"/>
  <c r="G102" i="8"/>
  <c r="F102" i="8"/>
  <c r="D102" i="8"/>
  <c r="G101" i="8"/>
  <c r="F101" i="8"/>
  <c r="D101" i="8"/>
  <c r="G100" i="8"/>
  <c r="F100" i="8"/>
  <c r="D100" i="8"/>
  <c r="G99" i="8"/>
  <c r="F99" i="8"/>
  <c r="D99" i="8"/>
  <c r="G98" i="8"/>
  <c r="F98" i="8"/>
  <c r="D98" i="8"/>
  <c r="G97" i="8"/>
  <c r="F97" i="8"/>
  <c r="D97" i="8"/>
  <c r="G96" i="8"/>
  <c r="F96" i="8"/>
  <c r="D96" i="8"/>
  <c r="G95" i="8"/>
  <c r="F95" i="8"/>
  <c r="D95" i="8"/>
  <c r="G94" i="8"/>
  <c r="F94" i="8"/>
  <c r="D94" i="8"/>
  <c r="G93" i="8"/>
  <c r="F93" i="8"/>
  <c r="D93" i="8"/>
  <c r="G92" i="8"/>
  <c r="F92" i="8"/>
  <c r="D92" i="8"/>
  <c r="G91" i="8"/>
  <c r="F91" i="8"/>
  <c r="D91" i="8"/>
  <c r="G90" i="8"/>
  <c r="F90" i="8"/>
  <c r="D90" i="8"/>
  <c r="G89" i="8"/>
  <c r="F89" i="8"/>
  <c r="D89" i="8"/>
  <c r="G88" i="8"/>
  <c r="F88" i="8"/>
  <c r="D88" i="8"/>
  <c r="G87" i="8"/>
  <c r="F87" i="8"/>
  <c r="D87" i="8"/>
  <c r="G86" i="8"/>
  <c r="F86" i="8"/>
  <c r="D86" i="8"/>
  <c r="G85" i="8"/>
  <c r="F85" i="8"/>
  <c r="D85" i="8"/>
  <c r="G84" i="8"/>
  <c r="F84" i="8"/>
  <c r="D84" i="8"/>
  <c r="G83" i="8"/>
  <c r="F83" i="8"/>
  <c r="D83" i="8"/>
  <c r="G82" i="8"/>
  <c r="F82" i="8"/>
  <c r="D82" i="8"/>
  <c r="G81" i="8"/>
  <c r="F81" i="8"/>
  <c r="D81" i="8"/>
  <c r="G80" i="8"/>
  <c r="F80" i="8"/>
  <c r="D80" i="8"/>
  <c r="G79" i="8"/>
  <c r="F79" i="8"/>
  <c r="D79" i="8"/>
  <c r="G78" i="8"/>
  <c r="F78" i="8"/>
  <c r="D78" i="8"/>
  <c r="G77" i="8"/>
  <c r="F77" i="8"/>
  <c r="D77" i="8"/>
  <c r="G76" i="8"/>
  <c r="F76" i="8"/>
  <c r="D76" i="8"/>
  <c r="G75" i="8"/>
  <c r="F75" i="8"/>
  <c r="D75" i="8"/>
  <c r="G74" i="8"/>
  <c r="F74" i="8"/>
  <c r="D74" i="8"/>
  <c r="G73" i="8"/>
  <c r="F73" i="8"/>
  <c r="D73" i="8"/>
  <c r="G72" i="8"/>
  <c r="F72" i="8"/>
  <c r="D72" i="8"/>
  <c r="G71" i="8"/>
  <c r="F71" i="8"/>
  <c r="D71" i="8"/>
  <c r="G70" i="8"/>
  <c r="F70" i="8"/>
  <c r="D70" i="8"/>
  <c r="G69" i="8"/>
  <c r="F69" i="8"/>
  <c r="D69" i="8"/>
  <c r="G68" i="8"/>
  <c r="F68" i="8"/>
  <c r="D68" i="8"/>
  <c r="G67" i="8"/>
  <c r="F67" i="8"/>
  <c r="D67" i="8"/>
  <c r="G66" i="8"/>
  <c r="F66" i="8"/>
  <c r="D66" i="8"/>
  <c r="G65" i="8"/>
  <c r="F65" i="8"/>
  <c r="D65" i="8"/>
  <c r="G64" i="8"/>
  <c r="F64" i="8"/>
  <c r="D64" i="8"/>
  <c r="G63" i="8"/>
  <c r="F63" i="8"/>
  <c r="D63" i="8"/>
  <c r="G62" i="8"/>
  <c r="F62" i="8"/>
  <c r="D62" i="8"/>
  <c r="G61" i="8"/>
  <c r="F61" i="8"/>
  <c r="D61" i="8"/>
  <c r="G60" i="8"/>
  <c r="F60" i="8"/>
  <c r="D60" i="8"/>
  <c r="G59" i="8"/>
  <c r="F59" i="8"/>
  <c r="D59" i="8"/>
  <c r="G58" i="8"/>
  <c r="F58" i="8"/>
  <c r="D58" i="8"/>
  <c r="G57" i="8"/>
  <c r="F57" i="8"/>
  <c r="D57" i="8"/>
  <c r="G56" i="8"/>
  <c r="F56" i="8"/>
  <c r="D56" i="8"/>
  <c r="G55" i="8"/>
  <c r="F55" i="8"/>
  <c r="D55" i="8"/>
  <c r="G54" i="8"/>
  <c r="F54" i="8"/>
  <c r="D54" i="8"/>
  <c r="G53" i="8"/>
  <c r="F53" i="8"/>
  <c r="D53" i="8"/>
  <c r="G52" i="8"/>
  <c r="F52" i="8"/>
  <c r="D52" i="8"/>
  <c r="G51" i="8"/>
  <c r="F51" i="8"/>
  <c r="D51" i="8"/>
  <c r="G50" i="8"/>
  <c r="F50" i="8"/>
  <c r="D50" i="8"/>
  <c r="G49" i="8"/>
  <c r="F49" i="8"/>
  <c r="D49" i="8"/>
  <c r="G48" i="8"/>
  <c r="F48" i="8"/>
  <c r="D48" i="8"/>
  <c r="G47" i="8"/>
  <c r="F47" i="8"/>
  <c r="D47" i="8"/>
  <c r="G46" i="8"/>
  <c r="F46" i="8"/>
  <c r="D46" i="8"/>
  <c r="G45" i="8"/>
  <c r="F45" i="8"/>
  <c r="D45" i="8"/>
  <c r="G44" i="8"/>
  <c r="F44" i="8"/>
  <c r="D44" i="8"/>
  <c r="G43" i="8"/>
  <c r="F43" i="8"/>
  <c r="D43" i="8"/>
  <c r="G42" i="8"/>
  <c r="F42" i="8"/>
  <c r="D42" i="8"/>
  <c r="G41" i="8"/>
  <c r="F41" i="8"/>
  <c r="D41" i="8"/>
  <c r="G40" i="8"/>
  <c r="F40" i="8"/>
  <c r="D40" i="8"/>
  <c r="G39" i="8"/>
  <c r="F39" i="8"/>
  <c r="D39" i="8"/>
  <c r="G38" i="8"/>
  <c r="F38" i="8"/>
  <c r="D38" i="8"/>
  <c r="G37" i="8"/>
  <c r="F37" i="8"/>
  <c r="D37" i="8"/>
  <c r="G36" i="8"/>
  <c r="F36" i="8"/>
  <c r="D36" i="8"/>
  <c r="G35" i="8"/>
  <c r="F35" i="8"/>
  <c r="D35" i="8"/>
  <c r="G34" i="8"/>
  <c r="F34" i="8"/>
  <c r="D34" i="8"/>
  <c r="G33" i="8"/>
  <c r="F33" i="8"/>
  <c r="D33" i="8"/>
  <c r="G32" i="8"/>
  <c r="F32" i="8"/>
  <c r="D32" i="8"/>
  <c r="G31" i="8"/>
  <c r="F31" i="8"/>
  <c r="D31" i="8"/>
  <c r="G30" i="8"/>
  <c r="F30" i="8"/>
  <c r="D30" i="8"/>
  <c r="G29" i="8"/>
  <c r="F29" i="8"/>
  <c r="D29" i="8"/>
  <c r="G28" i="8"/>
  <c r="F28" i="8"/>
  <c r="D28" i="8"/>
  <c r="G27" i="8"/>
  <c r="F27" i="8"/>
  <c r="D27" i="8"/>
  <c r="G26" i="8"/>
  <c r="F26" i="8"/>
  <c r="D26" i="8"/>
  <c r="G25" i="8"/>
  <c r="F25" i="8"/>
  <c r="D25" i="8"/>
  <c r="G24" i="8"/>
  <c r="F24" i="8"/>
  <c r="D24" i="8"/>
  <c r="G23" i="8"/>
  <c r="F23" i="8"/>
  <c r="D23" i="8"/>
  <c r="G22" i="8"/>
  <c r="F22" i="8"/>
  <c r="D22" i="8"/>
  <c r="G21" i="8"/>
  <c r="F21" i="8"/>
  <c r="D21" i="8"/>
  <c r="G20" i="8"/>
  <c r="F20" i="8"/>
  <c r="D20" i="8"/>
  <c r="G19" i="8"/>
  <c r="F19" i="8"/>
  <c r="D19" i="8"/>
  <c r="G18" i="8"/>
  <c r="F18" i="8"/>
  <c r="D18" i="8"/>
  <c r="G17" i="8"/>
  <c r="F17" i="8"/>
  <c r="D17" i="8"/>
  <c r="G16" i="8"/>
  <c r="F16" i="8"/>
  <c r="D16" i="8"/>
  <c r="G15" i="8"/>
  <c r="F15" i="8"/>
  <c r="D15" i="8"/>
  <c r="G14" i="8"/>
  <c r="F14" i="8"/>
  <c r="D14" i="8"/>
  <c r="G13" i="8"/>
  <c r="F13" i="8"/>
  <c r="D13" i="8"/>
  <c r="G12" i="8"/>
  <c r="F12" i="8"/>
  <c r="D12" i="8"/>
  <c r="G11" i="8"/>
  <c r="F11" i="8"/>
  <c r="D11" i="8"/>
  <c r="G10" i="8"/>
  <c r="F10" i="8"/>
  <c r="D10" i="8"/>
  <c r="G9" i="8"/>
  <c r="F9" i="8"/>
  <c r="D9" i="8"/>
  <c r="G8" i="8"/>
  <c r="F8" i="8"/>
  <c r="D8" i="8"/>
  <c r="G7" i="8"/>
  <c r="F7" i="8"/>
  <c r="D7" i="8"/>
  <c r="G6" i="8"/>
  <c r="F6" i="8"/>
  <c r="D6" i="8"/>
  <c r="G5" i="8"/>
  <c r="F5" i="8"/>
  <c r="D5" i="8"/>
  <c r="G4" i="8"/>
  <c r="F4" i="8"/>
  <c r="D4" i="8"/>
  <c r="G3" i="8"/>
  <c r="F3" i="8"/>
  <c r="D3" i="8"/>
  <c r="G2" i="8"/>
  <c r="F2" i="8"/>
  <c r="D2" i="8"/>
  <c r="E634" i="2"/>
  <c r="E224" i="2"/>
  <c r="E179" i="2"/>
  <c r="E80" i="2"/>
  <c r="D128" i="7"/>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E50F4BCA-6988-4715-927E-16056140DB72}"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301377F3-E36F-4B11-8AAD-4DC9AE2D1CCE}" name="WorksheetConnection_Book5.xlsx!tbl_Demand_Analysis" type="102" refreshedVersion="8" minRefreshableVersion="5">
    <extLst>
      <ext xmlns:x15="http://schemas.microsoft.com/office/spreadsheetml/2010/11/main" uri="{DE250136-89BD-433C-8126-D09CA5730AF9}">
        <x15:connection id="tbl_Demand_Analysis">
          <x15:rangePr sourceName="_xlcn.WorksheetConnection_Book5.xlsxtbl_Demand_Analysis1"/>
        </x15:connection>
      </ext>
    </extLst>
  </connection>
  <connection id="3" xr16:uid="{BF0927D0-D950-4637-8848-88396D12C35F}" name="WorksheetConnection_Book5.xlsx!tbl_Inventory_Status" type="102" refreshedVersion="8" minRefreshableVersion="5">
    <extLst>
      <ext xmlns:x15="http://schemas.microsoft.com/office/spreadsheetml/2010/11/main" uri="{DE250136-89BD-433C-8126-D09CA5730AF9}">
        <x15:connection id="tbl_Inventory_Status">
          <x15:rangePr sourceName="_xlcn.WorksheetConnection_Book5.xlsxtbl_Inventory_Status1"/>
        </x15:connection>
      </ext>
    </extLst>
  </connection>
  <connection id="4" xr16:uid="{B721D788-3BA8-4447-9257-0717EDCB6487}" name="WorksheetConnection_Book5.xlsx!tbl_Products" type="102" refreshedVersion="8" minRefreshableVersion="5">
    <extLst>
      <ext xmlns:x15="http://schemas.microsoft.com/office/spreadsheetml/2010/11/main" uri="{DE250136-89BD-433C-8126-D09CA5730AF9}">
        <x15:connection id="tbl_Products">
          <x15:rangePr sourceName="_xlcn.WorksheetConnection_Book5.xlsxtbl_Products1"/>
        </x15:connection>
      </ext>
    </extLst>
  </connection>
  <connection id="5" xr16:uid="{B4BE5A0F-DC96-43C0-B2DB-C1AD603F1BD5}" name="WorksheetConnection_Book5.xlsx!tbl_Reorder_Optimization" type="102" refreshedVersion="8" minRefreshableVersion="5">
    <extLst>
      <ext xmlns:x15="http://schemas.microsoft.com/office/spreadsheetml/2010/11/main" uri="{DE250136-89BD-433C-8126-D09CA5730AF9}">
        <x15:connection id="tbl_Reorder_Optimization">
          <x15:rangePr sourceName="_xlcn.WorksheetConnection_Book5.xlsxtbl_Reorder_Optimization1"/>
        </x15:connection>
      </ext>
    </extLst>
  </connection>
  <connection id="6" xr16:uid="{3988669E-C70E-4B02-8D6C-01D7F3118F08}" name="WorksheetConnection_Book5.xlsx!tbl_Transactions" type="102" refreshedVersion="8" minRefreshableVersion="5">
    <extLst>
      <ext xmlns:x15="http://schemas.microsoft.com/office/spreadsheetml/2010/11/main" uri="{DE250136-89BD-433C-8126-D09CA5730AF9}">
        <x15:connection id="tbl_Transactions">
          <x15:rangePr sourceName="_xlcn.WorksheetConnection_Book5.xlsxtbl_Transactions1"/>
        </x15:connection>
      </ext>
    </extLst>
  </connection>
</connections>
</file>

<file path=xl/metadata.xml><?xml version="1.0" encoding="utf-8"?>
<metadata xmlns="http://schemas.openxmlformats.org/spreadsheetml/2006/main" xmlns:xda="http://schemas.microsoft.com/office/spreadsheetml/2017/dynamicarray">
  <metadataTypes count="2">
    <metadataType name="XLDAPR" minSupportedVersion="120000" copy="1" pasteAll="1" pasteValues="1" merge="1" splitFirst="1" rowColShift="1" clearFormats="1" clearComments="1" assign="1" coerce="1" cellMeta="1"/>
    <metadataType name="XLMDX" minSupportedVersion="120000" copy="1" pasteAll="1" pasteValues="1" merge="1" splitFirst="1" rowColShift="1" clearFormats="1" clearComments="1" assign="1" coerce="1"/>
  </metadataTypes>
  <metadataStrings count="2">
    <s v="ThisWorkbookDataModel"/>
    <s v="{[tbl_Reorder_Optimization].[Reorder_flag].&amp;[1]}"/>
  </metadataStrings>
  <mdxMetadata count="1">
    <mdx n="0" f="s">
      <ms ns="1" c="0"/>
    </mdx>
  </mdxMetadata>
  <futureMetadata name="XLDAPR" count="1">
    <bk>
      <extLst>
        <ext uri="{bdbb8cdc-fa1e-496e-a857-3c3f30c029c3}">
          <xda:dynamicArrayProperties fDynamic="1" fCollapsed="0"/>
        </ext>
      </extLst>
    </bk>
  </futureMetadata>
  <cellMetadata count="1">
    <bk>
      <rc t="1" v="0"/>
    </bk>
  </cellMetadata>
  <valueMetadata count="1">
    <bk>
      <rc t="2" v="0"/>
    </bk>
  </valueMetadata>
</metadata>
</file>

<file path=xl/sharedStrings.xml><?xml version="1.0" encoding="utf-8"?>
<sst xmlns="http://schemas.openxmlformats.org/spreadsheetml/2006/main" count="5904" uniqueCount="2592">
  <si>
    <t>Product ID</t>
  </si>
  <si>
    <t>Category</t>
  </si>
  <si>
    <t>Supplier_Name</t>
  </si>
  <si>
    <t>Unit_Cost</t>
  </si>
  <si>
    <t>Dairy</t>
  </si>
  <si>
    <t>Carrot</t>
  </si>
  <si>
    <t>Garlic</t>
  </si>
  <si>
    <t>Lemon</t>
  </si>
  <si>
    <t>Anchovies</t>
  </si>
  <si>
    <t>Seafood</t>
  </si>
  <si>
    <t>Cheese</t>
  </si>
  <si>
    <t>Yogurt</t>
  </si>
  <si>
    <t>Orange</t>
  </si>
  <si>
    <t>Bakery</t>
  </si>
  <si>
    <t>Cauliflower</t>
  </si>
  <si>
    <t>Pear</t>
  </si>
  <si>
    <t>Eggplant</t>
  </si>
  <si>
    <t>Beverages</t>
  </si>
  <si>
    <t>Tilapia</t>
  </si>
  <si>
    <t>Milk</t>
  </si>
  <si>
    <t>Trout</t>
  </si>
  <si>
    <t>Cream</t>
  </si>
  <si>
    <t>Sardines</t>
  </si>
  <si>
    <t>Tuna</t>
  </si>
  <si>
    <t>Buttermilk</t>
  </si>
  <si>
    <t>Cod</t>
  </si>
  <si>
    <t>Kiwi</t>
  </si>
  <si>
    <t>Haddock</t>
  </si>
  <si>
    <t>Tomato</t>
  </si>
  <si>
    <t>Spinach</t>
  </si>
  <si>
    <t>Apple</t>
  </si>
  <si>
    <t>Peas</t>
  </si>
  <si>
    <t>Potato</t>
  </si>
  <si>
    <t>Halibut</t>
  </si>
  <si>
    <t>Salmon</t>
  </si>
  <si>
    <t>Broccoli</t>
  </si>
  <si>
    <t>Butter</t>
  </si>
  <si>
    <t>Mackerel</t>
  </si>
  <si>
    <t>Transaction Date</t>
  </si>
  <si>
    <t>Transaction Type</t>
  </si>
  <si>
    <t>Quantity</t>
  </si>
  <si>
    <t>IN</t>
  </si>
  <si>
    <t>20 Pennsylvania Parkway</t>
  </si>
  <si>
    <t>OUT</t>
  </si>
  <si>
    <t>03643 Oakridge Lane</t>
  </si>
  <si>
    <t>73 Graedel Street</t>
  </si>
  <si>
    <t>44801 Myrtle Center</t>
  </si>
  <si>
    <t>6195 Monterey Center</t>
  </si>
  <si>
    <t>5141 Anniversary Crossing</t>
  </si>
  <si>
    <t>38583 2nd Pass</t>
  </si>
  <si>
    <t>86 Porter Junction</t>
  </si>
  <si>
    <t>05518 Saint Paul Street</t>
  </si>
  <si>
    <t>14042 Dottie Avenue</t>
  </si>
  <si>
    <t>5 Oxford Pass</t>
  </si>
  <si>
    <t>3622 Anhalt Lane</t>
  </si>
  <si>
    <t>3 Bashford Court</t>
  </si>
  <si>
    <t>2 Carioca Crossing</t>
  </si>
  <si>
    <t>01 Northfield Road</t>
  </si>
  <si>
    <t>2004 Cody Plaza</t>
  </si>
  <si>
    <t>94862 Beilfuss Terrace</t>
  </si>
  <si>
    <t>10342 Division Place</t>
  </si>
  <si>
    <t>52 Namekagon Junction</t>
  </si>
  <si>
    <t>21343 Brentwood Circle</t>
  </si>
  <si>
    <t>36 3rd Place</t>
  </si>
  <si>
    <t>7015 Ramsey Lane</t>
  </si>
  <si>
    <t>48 Vahlen Place</t>
  </si>
  <si>
    <t>85 Farwell Parkway</t>
  </si>
  <si>
    <t>07 Pankratz Point</t>
  </si>
  <si>
    <t>338 Annamark Court</t>
  </si>
  <si>
    <t>35 Golf Course Alley</t>
  </si>
  <si>
    <t>96 Westridge Junction</t>
  </si>
  <si>
    <t>57 Eastwood Junction</t>
  </si>
  <si>
    <t>31 Sullivan Hill</t>
  </si>
  <si>
    <t>49148 Meadow Ridge Way</t>
  </si>
  <si>
    <t>38 Killdeer Point</t>
  </si>
  <si>
    <t>01 Gateway Plaza</t>
  </si>
  <si>
    <t>36483 Burning Wood Pass</t>
  </si>
  <si>
    <t>3 Meadow Valley Court</t>
  </si>
  <si>
    <t>47817 Oneill Park</t>
  </si>
  <si>
    <t>94 Mallory Center</t>
  </si>
  <si>
    <t>19 Shoshone Circle</t>
  </si>
  <si>
    <t>805 Center Parkway</t>
  </si>
  <si>
    <t>46 Delaware Place</t>
  </si>
  <si>
    <t>2374 Chive Court</t>
  </si>
  <si>
    <t>7561 5th Terrace</t>
  </si>
  <si>
    <t>703 Hermina Center</t>
  </si>
  <si>
    <t>709 Vidon Avenue</t>
  </si>
  <si>
    <t>0313 Rockefeller Street</t>
  </si>
  <si>
    <t>19069 Cordelia Drive</t>
  </si>
  <si>
    <t>60356 Derek Lane</t>
  </si>
  <si>
    <t>36687 Maple Avenue</t>
  </si>
  <si>
    <t>13 Westport Hill</t>
  </si>
  <si>
    <t>65 Chinook Circle</t>
  </si>
  <si>
    <t>759 Waywood Court</t>
  </si>
  <si>
    <t>45190 Fordem Court</t>
  </si>
  <si>
    <t>0 Delladonna Place</t>
  </si>
  <si>
    <t>63 Debra Park</t>
  </si>
  <si>
    <t>157 David Center</t>
  </si>
  <si>
    <t>4508 Shopko Trail</t>
  </si>
  <si>
    <t>74 Menomonie Point</t>
  </si>
  <si>
    <t>74997 Katie Terrace</t>
  </si>
  <si>
    <t>7819 Fallview Park</t>
  </si>
  <si>
    <t>744 Green Center</t>
  </si>
  <si>
    <t>31 Loomis Park</t>
  </si>
  <si>
    <t>1170 Shasta Circle</t>
  </si>
  <si>
    <t>15068 Scoville Court</t>
  </si>
  <si>
    <t>5743 Superior Place</t>
  </si>
  <si>
    <t>3296 Walton Court</t>
  </si>
  <si>
    <t>5 Toban Circle</t>
  </si>
  <si>
    <t>8569 Bashford Court</t>
  </si>
  <si>
    <t>31892 Pennsylvania Street</t>
  </si>
  <si>
    <t>6382 Anniversary Pass</t>
  </si>
  <si>
    <t>09189 2nd Drive</t>
  </si>
  <si>
    <t>081 Jana Lane</t>
  </si>
  <si>
    <t>72083 Acker Crossing</t>
  </si>
  <si>
    <t>7744 Oxford Pass</t>
  </si>
  <si>
    <t>050 Mcbride Avenue</t>
  </si>
  <si>
    <t>1 Merchant Circle</t>
  </si>
  <si>
    <t>97 Thierer Terrace</t>
  </si>
  <si>
    <t>069 Basil Center</t>
  </si>
  <si>
    <t>29 Vera Drive</t>
  </si>
  <si>
    <t>0584 Lindbergh Alley</t>
  </si>
  <si>
    <t>183 Algoma Trail</t>
  </si>
  <si>
    <t>7 Rutledge Pass</t>
  </si>
  <si>
    <t>01 Straubel Hill</t>
  </si>
  <si>
    <t>208 Miller Court</t>
  </si>
  <si>
    <t>203 Mariners Cove Junction</t>
  </si>
  <si>
    <t>6810 Aberg Junction</t>
  </si>
  <si>
    <t>805 Nancy Crossing</t>
  </si>
  <si>
    <t>8 Fremont Circle</t>
  </si>
  <si>
    <t>52 Victoria Plaza</t>
  </si>
  <si>
    <t>1991 Kropf Way</t>
  </si>
  <si>
    <t>3825 Raven Avenue</t>
  </si>
  <si>
    <t>78884 Union Street</t>
  </si>
  <si>
    <t>3 Anthes Place</t>
  </si>
  <si>
    <t>4627 Amoth Circle</t>
  </si>
  <si>
    <t>2 Miller Lane</t>
  </si>
  <si>
    <t>591 Maple Junction</t>
  </si>
  <si>
    <t>48 Golf View Pass</t>
  </si>
  <si>
    <t>752 Mccormick Way</t>
  </si>
  <si>
    <t>550 Clemons Plaza</t>
  </si>
  <si>
    <t>04 Hagan Crossing</t>
  </si>
  <si>
    <t>39 Lakewood Gardens Center</t>
  </si>
  <si>
    <t>5104 Jana Court</t>
  </si>
  <si>
    <t>68086 Crowley Circle</t>
  </si>
  <si>
    <t>897 Independence Circle</t>
  </si>
  <si>
    <t>0282 Emmet Hill</t>
  </si>
  <si>
    <t>61 Waubesa Court</t>
  </si>
  <si>
    <t>1 Lillian Plaza</t>
  </si>
  <si>
    <t>4 Doe Crossing Avenue</t>
  </si>
  <si>
    <t>24 South Trail</t>
  </si>
  <si>
    <t>8626 Chinook Parkway</t>
  </si>
  <si>
    <t>5501 Fuller Way</t>
  </si>
  <si>
    <t>5 Colorado Park</t>
  </si>
  <si>
    <t>3053 Sachs Center</t>
  </si>
  <si>
    <t>49263 Graceland Pass</t>
  </si>
  <si>
    <t>865 Eagle Crest Park</t>
  </si>
  <si>
    <t>36124 Carberry Junction</t>
  </si>
  <si>
    <t>6 Haas Circle</t>
  </si>
  <si>
    <t>292 Utah Street</t>
  </si>
  <si>
    <t>7403 Fuller Hill</t>
  </si>
  <si>
    <t>2696 Katie Road</t>
  </si>
  <si>
    <t>86207 Tennyson Parkway</t>
  </si>
  <si>
    <t>57 Di Loreto Circle</t>
  </si>
  <si>
    <t>9 Kipling Road</t>
  </si>
  <si>
    <t>1309 Elka Junction</t>
  </si>
  <si>
    <t>744 Lakewood Gardens Crossing</t>
  </si>
  <si>
    <t>895 Northland Hill</t>
  </si>
  <si>
    <t>26175 Oxford Way</t>
  </si>
  <si>
    <t>95 Packers Lane</t>
  </si>
  <si>
    <t>9 Clemons Hill</t>
  </si>
  <si>
    <t>84336 Haas Place</t>
  </si>
  <si>
    <t>63787 Arkansas Street</t>
  </si>
  <si>
    <t>54706 Prairieview Point</t>
  </si>
  <si>
    <t>901 Norway Maple Crossing</t>
  </si>
  <si>
    <t>55309 6th Junction</t>
  </si>
  <si>
    <t>6808 Chinook Parkway</t>
  </si>
  <si>
    <t>61707 Mariners Cove Park</t>
  </si>
  <si>
    <t>502 Sachs Circle</t>
  </si>
  <si>
    <t>46 Colorado Place</t>
  </si>
  <si>
    <t>00397 Bay Terrace</t>
  </si>
  <si>
    <t>7 Bonner Terrace</t>
  </si>
  <si>
    <t>6292 Chive Street</t>
  </si>
  <si>
    <t>0023 Upham Road</t>
  </si>
  <si>
    <t>0 Moose Lane</t>
  </si>
  <si>
    <t>4 Nelson Alley</t>
  </si>
  <si>
    <t>84 Rusk Terrace</t>
  </si>
  <si>
    <t>662 Vernon Point</t>
  </si>
  <si>
    <t>42719 Milwaukee Avenue</t>
  </si>
  <si>
    <t>86 Corben Crossing</t>
  </si>
  <si>
    <t>1 Monica Lane</t>
  </si>
  <si>
    <t>321 Barby Parkway</t>
  </si>
  <si>
    <t>093 Anhalt Crossing</t>
  </si>
  <si>
    <t>43 Lakewood Junction</t>
  </si>
  <si>
    <t>6151 Forster Drive</t>
  </si>
  <si>
    <t>76 Fisk Park</t>
  </si>
  <si>
    <t>58 Corscot Terrace</t>
  </si>
  <si>
    <t>0 Larry Terrace</t>
  </si>
  <si>
    <t>20 Butterfield Lane</t>
  </si>
  <si>
    <t>591 Maple Wood Drive</t>
  </si>
  <si>
    <t>336 Old Shore Lane</t>
  </si>
  <si>
    <t>6500 Raven Drive</t>
  </si>
  <si>
    <t>96 American Ash Center</t>
  </si>
  <si>
    <t>12 Rigney Street</t>
  </si>
  <si>
    <t>2718 Londonderry Plaza</t>
  </si>
  <si>
    <t>41 Stephen Crossing</t>
  </si>
  <si>
    <t>9269 Main Trail</t>
  </si>
  <si>
    <t>620 Mockingbird Pass</t>
  </si>
  <si>
    <t>37973 Parkside Junction</t>
  </si>
  <si>
    <t>18 Comanche Junction</t>
  </si>
  <si>
    <t>30968 Anzinger Court</t>
  </si>
  <si>
    <t>339 Paget Place</t>
  </si>
  <si>
    <t>2693 6th Court</t>
  </si>
  <si>
    <t>1 Elmside Parkway</t>
  </si>
  <si>
    <t>5325 Milwaukee Lane</t>
  </si>
  <si>
    <t>38 Superior Road</t>
  </si>
  <si>
    <t>96629 Nova Plaza</t>
  </si>
  <si>
    <t>657 Texas Street</t>
  </si>
  <si>
    <t>17 Reinke Circle</t>
  </si>
  <si>
    <t>3 Bellgrove Way</t>
  </si>
  <si>
    <t>00 Ridgeway Plaza</t>
  </si>
  <si>
    <t>42 Bunker Hill Junction</t>
  </si>
  <si>
    <t>701 Logan Court</t>
  </si>
  <si>
    <t>6 Lillian Junction</t>
  </si>
  <si>
    <t>72 Crownhardt Circle</t>
  </si>
  <si>
    <t>8524 Shelley Way</t>
  </si>
  <si>
    <t>9 Meadow Ridge Center</t>
  </si>
  <si>
    <t>2 Hooker Terrace</t>
  </si>
  <si>
    <t>56 Esker Park</t>
  </si>
  <si>
    <t>236 Gateway Lane</t>
  </si>
  <si>
    <t>2 Sunbrook Lane</t>
  </si>
  <si>
    <t>6172 Hovde Circle</t>
  </si>
  <si>
    <t>4 Sundown Place</t>
  </si>
  <si>
    <t>8 Mayer Trail</t>
  </si>
  <si>
    <t>2 Veith Crossing</t>
  </si>
  <si>
    <t>880 Calypso Road</t>
  </si>
  <si>
    <t>44051 Old Shore Junction</t>
  </si>
  <si>
    <t>2446 Anhalt Way</t>
  </si>
  <si>
    <t>5 Anderson Trail</t>
  </si>
  <si>
    <t>70156 7th Junction</t>
  </si>
  <si>
    <t>183 Buell Park</t>
  </si>
  <si>
    <t>832 Goodland Alley</t>
  </si>
  <si>
    <t>836 Brown Alley</t>
  </si>
  <si>
    <t>10997 Dexter Parkway</t>
  </si>
  <si>
    <t>154 Delladonna Hill</t>
  </si>
  <si>
    <t>07855 Goodland Lane</t>
  </si>
  <si>
    <t>993 Kensington Drive</t>
  </si>
  <si>
    <t>779 Ridgeway Street</t>
  </si>
  <si>
    <t>81878 Nobel Point</t>
  </si>
  <si>
    <t>6 Charing Cross Circle</t>
  </si>
  <si>
    <t>1519 Delaware Court</t>
  </si>
  <si>
    <t>2 Fair Oaks Pass</t>
  </si>
  <si>
    <t>18 Daystar Parkway</t>
  </si>
  <si>
    <t>7 Spohn Avenue</t>
  </si>
  <si>
    <t>39 Dahle Alley</t>
  </si>
  <si>
    <t>27408 Burning Wood Street</t>
  </si>
  <si>
    <t>3 Westerfield Crossing</t>
  </si>
  <si>
    <t>5756 Stephen Avenue</t>
  </si>
  <si>
    <t>84239 Meadow Vale Trail</t>
  </si>
  <si>
    <t>4784 Farmco Alley</t>
  </si>
  <si>
    <t>79 Monterey Avenue</t>
  </si>
  <si>
    <t>587 Vermont Terrace</t>
  </si>
  <si>
    <t>983 Sommers Circle</t>
  </si>
  <si>
    <t>51890 Lindbergh Terrace</t>
  </si>
  <si>
    <t>95 Kingsford Terrace</t>
  </si>
  <si>
    <t>12710 Gulseth Circle</t>
  </si>
  <si>
    <t>1 Westport Crossing</t>
  </si>
  <si>
    <t>84305 Fair Oaks Plaza</t>
  </si>
  <si>
    <t>15 Oriole Park</t>
  </si>
  <si>
    <t>43442 Homewood Street</t>
  </si>
  <si>
    <t>56830 Fremont Road</t>
  </si>
  <si>
    <t>10 Golf Course Hill</t>
  </si>
  <si>
    <t>357 Maple Park</t>
  </si>
  <si>
    <t>7 Riverside Road</t>
  </si>
  <si>
    <t>4353 Dixon Circle</t>
  </si>
  <si>
    <t>89 Karstens Alley</t>
  </si>
  <si>
    <t>898 Rowland Trail</t>
  </si>
  <si>
    <t>92655 Pond Park</t>
  </si>
  <si>
    <t>403 Loomis Way</t>
  </si>
  <si>
    <t>87784 Blaine Way</t>
  </si>
  <si>
    <t>32 Cottonwood Pass</t>
  </si>
  <si>
    <t>890 Eggendart Pass</t>
  </si>
  <si>
    <t>4 Duke Way</t>
  </si>
  <si>
    <t>7 Gateway Center</t>
  </si>
  <si>
    <t>459 Gateway Pass</t>
  </si>
  <si>
    <t>4929 Westend Point</t>
  </si>
  <si>
    <t>160 Crowley Center</t>
  </si>
  <si>
    <t>62494 Longview Drive</t>
  </si>
  <si>
    <t>8499 Hanover Terrace</t>
  </si>
  <si>
    <t>48788 Chinook Place</t>
  </si>
  <si>
    <t>26266 Esker Point</t>
  </si>
  <si>
    <t>6410 Northwestern Pass</t>
  </si>
  <si>
    <t>0782 Dapin Avenue</t>
  </si>
  <si>
    <t>8 Thackeray Drive</t>
  </si>
  <si>
    <t>5 Forest Run Way</t>
  </si>
  <si>
    <t>230 Tony Court</t>
  </si>
  <si>
    <t>545 Linden Alley</t>
  </si>
  <si>
    <t>521 Burning Wood Trail</t>
  </si>
  <si>
    <t>3 Buhler Place</t>
  </si>
  <si>
    <t>23704 Algoma Park</t>
  </si>
  <si>
    <t>62 Thackeray Center</t>
  </si>
  <si>
    <t>5306 Arkansas Avenue</t>
  </si>
  <si>
    <t>285 1st Park</t>
  </si>
  <si>
    <t>379 Duke Court</t>
  </si>
  <si>
    <t>07 Maple Wood Drive</t>
  </si>
  <si>
    <t>7444 Saint Paul Circle</t>
  </si>
  <si>
    <t>2 Scofield Street</t>
  </si>
  <si>
    <t>826 Melvin Pass</t>
  </si>
  <si>
    <t>63578 Butternut Hill</t>
  </si>
  <si>
    <t>66330 Northridge Street</t>
  </si>
  <si>
    <t>297 Petterle Way</t>
  </si>
  <si>
    <t>175 Sycamore Circle</t>
  </si>
  <si>
    <t>92321 Nelson Trail</t>
  </si>
  <si>
    <t>87417 Forest Pass</t>
  </si>
  <si>
    <t>00 Drewry Court</t>
  </si>
  <si>
    <t>25784 Old Gate Crossing</t>
  </si>
  <si>
    <t>622 Anthes Lane</t>
  </si>
  <si>
    <t>553 Hooker Trail</t>
  </si>
  <si>
    <t>9431 Clarendon Pass</t>
  </si>
  <si>
    <t>88721 Dawn Crossing</t>
  </si>
  <si>
    <t>43211 Anzinger Drive</t>
  </si>
  <si>
    <t>0 Village Green Street</t>
  </si>
  <si>
    <t>13 Corscot Hill</t>
  </si>
  <si>
    <t>3104 Ridge Oak Hill</t>
  </si>
  <si>
    <t>3 Lawn Park</t>
  </si>
  <si>
    <t>277 Pawling Terrace</t>
  </si>
  <si>
    <t>00616 Manitowish Parkway</t>
  </si>
  <si>
    <t>67 Little Fleur Road</t>
  </si>
  <si>
    <t>0 Saint Paul Center</t>
  </si>
  <si>
    <t>7 Heffernan Drive</t>
  </si>
  <si>
    <t>8 Dovetail Junction</t>
  </si>
  <si>
    <t>4 4th Place</t>
  </si>
  <si>
    <t>4 Browning Terrace</t>
  </si>
  <si>
    <t>46 Cardinal Way</t>
  </si>
  <si>
    <t>0039 Shelley Place</t>
  </si>
  <si>
    <t>5862 Hooker Pass</t>
  </si>
  <si>
    <t>0 Ohio Hill</t>
  </si>
  <si>
    <t>86 Maryland Junction</t>
  </si>
  <si>
    <t>0087 Bluejay Plaza</t>
  </si>
  <si>
    <t>96 American Center</t>
  </si>
  <si>
    <t>53 Lawn Circle</t>
  </si>
  <si>
    <t>95261 Morningstar Way</t>
  </si>
  <si>
    <t>8 Spaight Circle</t>
  </si>
  <si>
    <t>72090 Northfield Place</t>
  </si>
  <si>
    <t>90865 Sherman Court</t>
  </si>
  <si>
    <t>85276 Lakewood Gardens Alley</t>
  </si>
  <si>
    <t>27535 Morrow Avenue</t>
  </si>
  <si>
    <t>42 Clemons Terrace</t>
  </si>
  <si>
    <t>8531 Manley Court</t>
  </si>
  <si>
    <t>0920 Monica Pass</t>
  </si>
  <si>
    <t>88 Lighthouse Bay Crossing</t>
  </si>
  <si>
    <t>81533 John Wall Court</t>
  </si>
  <si>
    <t>26160 Independence Alley</t>
  </si>
  <si>
    <t>085 Reinke Pass</t>
  </si>
  <si>
    <t>1959 Marcy Center</t>
  </si>
  <si>
    <t>555 Butternut Hill</t>
  </si>
  <si>
    <t>561 Pennsylvania Way</t>
  </si>
  <si>
    <t>0258 Shoshone Center</t>
  </si>
  <si>
    <t>5 Transport Pass</t>
  </si>
  <si>
    <t>3 Monument Street</t>
  </si>
  <si>
    <t>848 Old Gate Parkway</t>
  </si>
  <si>
    <t>64 1st Plaza</t>
  </si>
  <si>
    <t>803 5th Alley</t>
  </si>
  <si>
    <t>15 Loomis Avenue</t>
  </si>
  <si>
    <t>46758 Hallows Center</t>
  </si>
  <si>
    <t>49884 Brickson Park Plaza</t>
  </si>
  <si>
    <t>8868 Armistice Place</t>
  </si>
  <si>
    <t>7242 Claremont Avenue</t>
  </si>
  <si>
    <t>29992 Warrior Center</t>
  </si>
  <si>
    <t>9307 Kingsford Road</t>
  </si>
  <si>
    <t>87578 Stoughton Parkway</t>
  </si>
  <si>
    <t>21 Golden Leaf Hill</t>
  </si>
  <si>
    <t>96 Brown Drive</t>
  </si>
  <si>
    <t>46 Hoffman Trail</t>
  </si>
  <si>
    <t>381 Rutledge Place</t>
  </si>
  <si>
    <t>2 Russell Alley</t>
  </si>
  <si>
    <t>285 East Plaza</t>
  </si>
  <si>
    <t>59 Veith Center</t>
  </si>
  <si>
    <t>267 International Plaza</t>
  </si>
  <si>
    <t>812 Shelley Circle</t>
  </si>
  <si>
    <t>40643 Sullivan Lane</t>
  </si>
  <si>
    <t>00 Luster Alley</t>
  </si>
  <si>
    <t>9171 Norway Maple Trail</t>
  </si>
  <si>
    <t>292 Charing Cross Terrace</t>
  </si>
  <si>
    <t>29817 Coleman Drive</t>
  </si>
  <si>
    <t>18 Troy Avenue</t>
  </si>
  <si>
    <t>8425 New Castle Parkway</t>
  </si>
  <si>
    <t>7 Ridge Oak Pass</t>
  </si>
  <si>
    <t>1666 Dayton Terrace</t>
  </si>
  <si>
    <t>757 Grasskamp Drive</t>
  </si>
  <si>
    <t>5 Forster Point</t>
  </si>
  <si>
    <t>6 Bay Road</t>
  </si>
  <si>
    <t>75054 Ramsey Parkway</t>
  </si>
  <si>
    <t>42 Mandrake Alley</t>
  </si>
  <si>
    <t>65 Forster Way</t>
  </si>
  <si>
    <t>80930 Briar Crest Point</t>
  </si>
  <si>
    <t>615 Mayer Drive</t>
  </si>
  <si>
    <t>59449 Sherman Parkway</t>
  </si>
  <si>
    <t>8682 Golf Course Junction</t>
  </si>
  <si>
    <t>22555 Macpherson Plaza</t>
  </si>
  <si>
    <t>71 Bultman Drive</t>
  </si>
  <si>
    <t>32 6th Lane</t>
  </si>
  <si>
    <t>04 Mesta Parkway</t>
  </si>
  <si>
    <t>88678 Bayside Park</t>
  </si>
  <si>
    <t>40 Cody Pass</t>
  </si>
  <si>
    <t>77 Prairie Rose Park</t>
  </si>
  <si>
    <t>20 Marcy Circle</t>
  </si>
  <si>
    <t>56 Bonner Point</t>
  </si>
  <si>
    <t>3 Hagan Drive</t>
  </si>
  <si>
    <t>39102 Division Trail</t>
  </si>
  <si>
    <t>72778 Loftsgordon Center</t>
  </si>
  <si>
    <t>21530 Prentice Place</t>
  </si>
  <si>
    <t>54 Weeping Birch Lane</t>
  </si>
  <si>
    <t>2003 Delladonna Pass</t>
  </si>
  <si>
    <t>581 Oneill Crossing</t>
  </si>
  <si>
    <t>8182 Hazelcrest Place</t>
  </si>
  <si>
    <t>7944 Elgar Alley</t>
  </si>
  <si>
    <t>1615 Bellgrove Crossing</t>
  </si>
  <si>
    <t>95 Garrison Plaza</t>
  </si>
  <si>
    <t>227 Tennyson Plaza</t>
  </si>
  <si>
    <t>75 High Crossing Junction</t>
  </si>
  <si>
    <t>894 Kingsford Road</t>
  </si>
  <si>
    <t>8 Dakota Avenue</t>
  </si>
  <si>
    <t>31208 Westerfield Way</t>
  </si>
  <si>
    <t>4 Warbler Center</t>
  </si>
  <si>
    <t>05 Canary Circle</t>
  </si>
  <si>
    <t>03 Little Fleur Pass</t>
  </si>
  <si>
    <t>50880 Nobel Road</t>
  </si>
  <si>
    <t>288 Fair Oaks Place</t>
  </si>
  <si>
    <t>4 Orin Lane</t>
  </si>
  <si>
    <t>7698 Logan Drive</t>
  </si>
  <si>
    <t>4346 Columbus Way</t>
  </si>
  <si>
    <t>09264 Forest Dale Drive</t>
  </si>
  <si>
    <t>843 Pepper Wood Hill</t>
  </si>
  <si>
    <t>60 Dottie Hill</t>
  </si>
  <si>
    <t>844 Schurz Point</t>
  </si>
  <si>
    <t>234 Eagle Crest Avenue</t>
  </si>
  <si>
    <t>17640 Cottonwood Place</t>
  </si>
  <si>
    <t>49770 Hoffman Court</t>
  </si>
  <si>
    <t>03 Ryan Circle</t>
  </si>
  <si>
    <t>98 Melody Street</t>
  </si>
  <si>
    <t>57150 Del Sol Alley</t>
  </si>
  <si>
    <t>4 6th Plaza</t>
  </si>
  <si>
    <t>2835 Schlimgen Parkway</t>
  </si>
  <si>
    <t>61 Transport Parkway</t>
  </si>
  <si>
    <t>9171 Redwing Street</t>
  </si>
  <si>
    <t>5 Waxwing Junction</t>
  </si>
  <si>
    <t>6 Stang Hill</t>
  </si>
  <si>
    <t>3 Del Mar Point</t>
  </si>
  <si>
    <t>5 Loftsgordon Trail</t>
  </si>
  <si>
    <t>75 Bunting Junction</t>
  </si>
  <si>
    <t>42 Mallory Court</t>
  </si>
  <si>
    <t>6 Orin Place</t>
  </si>
  <si>
    <t>80 Old Shore Plaza</t>
  </si>
  <si>
    <t>44249 Sutteridge Crossing</t>
  </si>
  <si>
    <t>08545 Lillian Street</t>
  </si>
  <si>
    <t>1 Green Hill</t>
  </si>
  <si>
    <t>453 Dryden Park</t>
  </si>
  <si>
    <t>44296 Kropf Avenue</t>
  </si>
  <si>
    <t>00064 Mosinee Circle</t>
  </si>
  <si>
    <t>1223 Monument Drive</t>
  </si>
  <si>
    <t>879 Amoth Terrace</t>
  </si>
  <si>
    <t>931 Browning Center</t>
  </si>
  <si>
    <t>564 Hazelcrest Crossing</t>
  </si>
  <si>
    <t>65721 Caliangt Crossing</t>
  </si>
  <si>
    <t>89 Springs Alley</t>
  </si>
  <si>
    <t>1792 Crownhardt Street</t>
  </si>
  <si>
    <t>0847 Artisan Hill</t>
  </si>
  <si>
    <t>24045 Bluestem Point</t>
  </si>
  <si>
    <t>9305 Warrior Way</t>
  </si>
  <si>
    <t>13 Bluejay Way</t>
  </si>
  <si>
    <t>710 Service Park</t>
  </si>
  <si>
    <t>71796 Waubesa Terrace</t>
  </si>
  <si>
    <t>545 Farwell Lane</t>
  </si>
  <si>
    <t>9 Burrows Junction</t>
  </si>
  <si>
    <t>5 Eggendart Parkway</t>
  </si>
  <si>
    <t>16 Autumn Leaf Way</t>
  </si>
  <si>
    <t>6 Tony Junction</t>
  </si>
  <si>
    <t>19112 Little Fleur Road</t>
  </si>
  <si>
    <t>38 Dawn Street</t>
  </si>
  <si>
    <t>579 Schlimgen Alley</t>
  </si>
  <si>
    <t>9 Anhalt Trail</t>
  </si>
  <si>
    <t>85 Lunder Court</t>
  </si>
  <si>
    <t>51369 Dawn Hill</t>
  </si>
  <si>
    <t>9050 Dorton Pass</t>
  </si>
  <si>
    <t>856 School Plaza</t>
  </si>
  <si>
    <t>82 Drewry Junction</t>
  </si>
  <si>
    <t>9067 Valley Edge Park</t>
  </si>
  <si>
    <t>185 Stone Corner Parkway</t>
  </si>
  <si>
    <t>205 Straubel Court</t>
  </si>
  <si>
    <t>2 7th Center</t>
  </si>
  <si>
    <t>443 Browning Terrace</t>
  </si>
  <si>
    <t>97 Utah Lane</t>
  </si>
  <si>
    <t>25 Drewry Alley</t>
  </si>
  <si>
    <t>77 Monument Court</t>
  </si>
  <si>
    <t>61932 Cascade Crossing</t>
  </si>
  <si>
    <t>4 Judy Hill</t>
  </si>
  <si>
    <t>58 La Follette Park</t>
  </si>
  <si>
    <t>52105 Mandrake Place</t>
  </si>
  <si>
    <t>83 Pleasure Street</t>
  </si>
  <si>
    <t>77 Monterey Avenue</t>
  </si>
  <si>
    <t>0 Thackeray Point</t>
  </si>
  <si>
    <t>06 Shopko Pass</t>
  </si>
  <si>
    <t>7020 Porter Trail</t>
  </si>
  <si>
    <t>160 Kings Street</t>
  </si>
  <si>
    <t>80729 Homewood Plaza</t>
  </si>
  <si>
    <t>583 Loftsgordon Road</t>
  </si>
  <si>
    <t>5521 Wayridge Center</t>
  </si>
  <si>
    <t>685 Independence Junction</t>
  </si>
  <si>
    <t>854 Kipling Point</t>
  </si>
  <si>
    <t>23560 Talmadge Center</t>
  </si>
  <si>
    <t>7193 Crownhardt Drive</t>
  </si>
  <si>
    <t>76928 Tennyson Parkway</t>
  </si>
  <si>
    <t>265 Columbus Way</t>
  </si>
  <si>
    <t>85953 Clyde Gallagher Drive</t>
  </si>
  <si>
    <t>33145 Butterfield Avenue</t>
  </si>
  <si>
    <t>64389 Arkansas Alley</t>
  </si>
  <si>
    <t>6738 Tennyson Road</t>
  </si>
  <si>
    <t>8 Hazelcrest Street</t>
  </si>
  <si>
    <t>27 School Court</t>
  </si>
  <si>
    <t>9951 Petterle Alley</t>
  </si>
  <si>
    <t>38 Banding Lane</t>
  </si>
  <si>
    <t>06 Lake View Trail</t>
  </si>
  <si>
    <t>84642 Clarendon Point</t>
  </si>
  <si>
    <t>11 Golden Leaf Alley</t>
  </si>
  <si>
    <t>6 Bobwhite Alley</t>
  </si>
  <si>
    <t>7 Talmadge Street</t>
  </si>
  <si>
    <t>374 Blue Bill Park Point</t>
  </si>
  <si>
    <t>185 Saint Paul Road</t>
  </si>
  <si>
    <t>1509 Hoard Circle</t>
  </si>
  <si>
    <t>30408 5th Way</t>
  </si>
  <si>
    <t>0500 Calypso Pass</t>
  </si>
  <si>
    <t>978 Shasta Lane</t>
  </si>
  <si>
    <t>524 Saint Paul Park</t>
  </si>
  <si>
    <t>9 Meadow Vale Drive</t>
  </si>
  <si>
    <t>467 Dexter Pass</t>
  </si>
  <si>
    <t>16 Fair Oaks Pass</t>
  </si>
  <si>
    <t>8119 Homewood Drive</t>
  </si>
  <si>
    <t>4571 Fremont Way</t>
  </si>
  <si>
    <t>357 High Crossing Parkway</t>
  </si>
  <si>
    <t>03 Roth Court</t>
  </si>
  <si>
    <t>7182 Summit Court</t>
  </si>
  <si>
    <t>481 Mifflin Hill</t>
  </si>
  <si>
    <t>697 Hoepker Center</t>
  </si>
  <si>
    <t>5551 Mallory Lane</t>
  </si>
  <si>
    <t>20 Nelson Way</t>
  </si>
  <si>
    <t>988 Southridge Way</t>
  </si>
  <si>
    <t>52691 8th Drive</t>
  </si>
  <si>
    <t>04 Blaine Lane</t>
  </si>
  <si>
    <t>55095 Northview Drive</t>
  </si>
  <si>
    <t>509 Carpenter Trail</t>
  </si>
  <si>
    <t>298 Corry Plaza</t>
  </si>
  <si>
    <t>9 Karstens Center</t>
  </si>
  <si>
    <t>1661 Springview Terrace</t>
  </si>
  <si>
    <t>8239 Laurel Way</t>
  </si>
  <si>
    <t>5 Ohio Lane</t>
  </si>
  <si>
    <t>55782 Welch Hill</t>
  </si>
  <si>
    <t>54 Pawling Crossing</t>
  </si>
  <si>
    <t>8 Oriole Terrace</t>
  </si>
  <si>
    <t>40 Merchant Terrace</t>
  </si>
  <si>
    <t>4 Dakota Avenue</t>
  </si>
  <si>
    <t>1005 Lyons Junction</t>
  </si>
  <si>
    <t>43024 Elka Avenue</t>
  </si>
  <si>
    <t>5 Armistice Parkway</t>
  </si>
  <si>
    <t>3831 Goodland Road</t>
  </si>
  <si>
    <t>92486 Laurel Alley</t>
  </si>
  <si>
    <t>9 Victoria Point</t>
  </si>
  <si>
    <t>6748 Mitchell Road</t>
  </si>
  <si>
    <t>81 Oneill Circle</t>
  </si>
  <si>
    <t>537 Maple Alley</t>
  </si>
  <si>
    <t>82737 Ryan Place</t>
  </si>
  <si>
    <t>7 Hallows Alley</t>
  </si>
  <si>
    <t>60 Main Pass</t>
  </si>
  <si>
    <t>652 High Crossing Lane</t>
  </si>
  <si>
    <t>03416 Valley Edge Circle</t>
  </si>
  <si>
    <t>05686 Golden Leaf Point</t>
  </si>
  <si>
    <t>11 Kedzie Avenue</t>
  </si>
  <si>
    <t>1 Pleasure Hill</t>
  </si>
  <si>
    <t>08896 Evergreen Avenue</t>
  </si>
  <si>
    <t>309 Burning Wood Center</t>
  </si>
  <si>
    <t>113 Donald Court</t>
  </si>
  <si>
    <t>611 Waubesa Circle</t>
  </si>
  <si>
    <t>44 Thompson Terrace</t>
  </si>
  <si>
    <t>425 Shasta Terrace</t>
  </si>
  <si>
    <t>21633 Sycamore Center</t>
  </si>
  <si>
    <t>797 Mcbride Lane</t>
  </si>
  <si>
    <t>083 Mccormick Park</t>
  </si>
  <si>
    <t>38436 Anthes Way</t>
  </si>
  <si>
    <t>1 Mockingbird Parkway</t>
  </si>
  <si>
    <t>3 Bayside Point</t>
  </si>
  <si>
    <t>13 Forest Run Place</t>
  </si>
  <si>
    <t>553 Mayfield Crossing</t>
  </si>
  <si>
    <t>55276 Golf Hill</t>
  </si>
  <si>
    <t>924 La Follette Alley</t>
  </si>
  <si>
    <t>35598 Fuller Terrace</t>
  </si>
  <si>
    <t>163 Esch Pass</t>
  </si>
  <si>
    <t>77 Brown Circle</t>
  </si>
  <si>
    <t>8 Merrick Lane</t>
  </si>
  <si>
    <t>9 Cardinal Alley</t>
  </si>
  <si>
    <t>93 Longview Junction</t>
  </si>
  <si>
    <t>04776 Saint Paul Park</t>
  </si>
  <si>
    <t>7945 Mayer Center</t>
  </si>
  <si>
    <t>9433 Jenna Lane</t>
  </si>
  <si>
    <t>2 Grayhawk Junction</t>
  </si>
  <si>
    <t>6744 Helena Pass</t>
  </si>
  <si>
    <t>803 Cottonwood Crossing</t>
  </si>
  <si>
    <t>269 Dakota Trail</t>
  </si>
  <si>
    <t>7 Harper Drive</t>
  </si>
  <si>
    <t>49869 Bunker Hill Terrace</t>
  </si>
  <si>
    <t>7407 Farragut Pass</t>
  </si>
  <si>
    <t>7 Schiller Court</t>
  </si>
  <si>
    <t>11263 Kipling Hill</t>
  </si>
  <si>
    <t>70001 Vahlen Lane</t>
  </si>
  <si>
    <t>82 Hintze Court</t>
  </si>
  <si>
    <t>6982 Crownhardt Circle</t>
  </si>
  <si>
    <t>2 Butterfield Pass</t>
  </si>
  <si>
    <t>14 Talmadge Park</t>
  </si>
  <si>
    <t>44662 American Plaza</t>
  </si>
  <si>
    <t>7051 Calypso Place</t>
  </si>
  <si>
    <t>4033 Sloan Hill</t>
  </si>
  <si>
    <t>734 Thackeray Avenue</t>
  </si>
  <si>
    <t>31057 Roth Place</t>
  </si>
  <si>
    <t>9559 Muir Trail</t>
  </si>
  <si>
    <t>811 Dapin Center</t>
  </si>
  <si>
    <t>1 Hollow Ridge Park</t>
  </si>
  <si>
    <t>8583 Northwestern Terrace</t>
  </si>
  <si>
    <t>42 Green Ridge Terrace</t>
  </si>
  <si>
    <t>57453 Northwestern Alley</t>
  </si>
  <si>
    <t>760 Butternut Plaza</t>
  </si>
  <si>
    <t>7943 Amoth Parkway</t>
  </si>
  <si>
    <t>53 Forest Run Plaza</t>
  </si>
  <si>
    <t>509 Waywood Center</t>
  </si>
  <si>
    <t>1 Jackson Pass</t>
  </si>
  <si>
    <t>68 Dakota Center</t>
  </si>
  <si>
    <t>642 Arizona Point</t>
  </si>
  <si>
    <t>87 Bluestem Parkway</t>
  </si>
  <si>
    <t>4826 Drewry Center</t>
  </si>
  <si>
    <t>7 Mockingbird Hill</t>
  </si>
  <si>
    <t>0 Ruskin Way</t>
  </si>
  <si>
    <t>01 Hansons Crossing</t>
  </si>
  <si>
    <t>4 Loomis Way</t>
  </si>
  <si>
    <t>5989 Longview Drive</t>
  </si>
  <si>
    <t>6435 Burning Wood Drive</t>
  </si>
  <si>
    <t>91 Gateway Pass</t>
  </si>
  <si>
    <t>78919 East Crossing</t>
  </si>
  <si>
    <t>952 Rowland Junction</t>
  </si>
  <si>
    <t>28351 Cascade Plaza</t>
  </si>
  <si>
    <t>884 Sloan Drive</t>
  </si>
  <si>
    <t>22 Hudson Pass</t>
  </si>
  <si>
    <t>463 Oxford Crossing</t>
  </si>
  <si>
    <t>149 Valley Edge Point</t>
  </si>
  <si>
    <t>21 Sunbrook Court</t>
  </si>
  <si>
    <t>1 Logan Road</t>
  </si>
  <si>
    <t>7 Prairieview Place</t>
  </si>
  <si>
    <t>74 Sugar Plaza</t>
  </si>
  <si>
    <t>554 Eliot Point</t>
  </si>
  <si>
    <t>2582 Autumn Leaf Park</t>
  </si>
  <si>
    <t>848 Mariners Cove Junction</t>
  </si>
  <si>
    <t>498 Delladonna Drive</t>
  </si>
  <si>
    <t>76106 Anthes Junction</t>
  </si>
  <si>
    <t>03 Fisk Alley</t>
  </si>
  <si>
    <t>546 Declaration Place</t>
  </si>
  <si>
    <t>082 Clove Plaza</t>
  </si>
  <si>
    <t>850 Glacier Hill Drive</t>
  </si>
  <si>
    <t>5 Linden Terrace</t>
  </si>
  <si>
    <t>29815 Bonner Trail</t>
  </si>
  <si>
    <t>46 Orin Drive</t>
  </si>
  <si>
    <t>7369 Thackeray Drive</t>
  </si>
  <si>
    <t>80380 Valley Edge Road</t>
  </si>
  <si>
    <t>917 Westerfield Terrace</t>
  </si>
  <si>
    <t>7 Sloan Park</t>
  </si>
  <si>
    <t>3616 Carey Pass</t>
  </si>
  <si>
    <t>32468 Utah Pass</t>
  </si>
  <si>
    <t>7 Roxbury Circle</t>
  </si>
  <si>
    <t>195 Portage Junction</t>
  </si>
  <si>
    <t>406 Westridge Alley</t>
  </si>
  <si>
    <t>22782 Oriole Way</t>
  </si>
  <si>
    <t>64407 Marcy Plaza</t>
  </si>
  <si>
    <t>32 Rigney Terrace</t>
  </si>
  <si>
    <t>2 Canary Street</t>
  </si>
  <si>
    <t>34832 Autumn Leaf Terrace</t>
  </si>
  <si>
    <t>34642 Carpenter Place</t>
  </si>
  <si>
    <t>41 Comanche Park</t>
  </si>
  <si>
    <t>49225 Homewood Place</t>
  </si>
  <si>
    <t>34 Linden Court</t>
  </si>
  <si>
    <t>4374 Corry Terrace</t>
  </si>
  <si>
    <t>9440 Coleman Drive</t>
  </si>
  <si>
    <t>3 John Wall Point</t>
  </si>
  <si>
    <t>5818 Twin Pines Place</t>
  </si>
  <si>
    <t>21625 Schlimgen Park</t>
  </si>
  <si>
    <t>5 Prentice Pass</t>
  </si>
  <si>
    <t>75 Cascade Avenue</t>
  </si>
  <si>
    <t>50687 Porter Park</t>
  </si>
  <si>
    <t>3 Oakridge Parkway</t>
  </si>
  <si>
    <t>4 Raven Drive</t>
  </si>
  <si>
    <t>12 Truax Court</t>
  </si>
  <si>
    <t>18 Warrior Circle</t>
  </si>
  <si>
    <t>2 Sachtjen Park</t>
  </si>
  <si>
    <t>094 Carberry Lane</t>
  </si>
  <si>
    <t>79 Ronald Regan Avenue</t>
  </si>
  <si>
    <t>87 Corben Street</t>
  </si>
  <si>
    <t>911 Ridgeway Way</t>
  </si>
  <si>
    <t>44022 Barnett Way</t>
  </si>
  <si>
    <t>52 Alpine Crossing</t>
  </si>
  <si>
    <t>538 Bayside Parkway</t>
  </si>
  <si>
    <t>6 Rusk Pass</t>
  </si>
  <si>
    <t>5 Lyons Street</t>
  </si>
  <si>
    <t>9821 Novick Hill</t>
  </si>
  <si>
    <t>49646 Derek Lane</t>
  </si>
  <si>
    <t>149 Lawn Way</t>
  </si>
  <si>
    <t>16730 Luster Alley</t>
  </si>
  <si>
    <t>2 Northview Avenue</t>
  </si>
  <si>
    <t>2 Columbus Drive</t>
  </si>
  <si>
    <t>2 Northridge Street</t>
  </si>
  <si>
    <t>451 Grim Hill</t>
  </si>
  <si>
    <t>5 Fisk Point</t>
  </si>
  <si>
    <t>10577 Thierer Plaza</t>
  </si>
  <si>
    <t>2005 Mccormick Road</t>
  </si>
  <si>
    <t>739 Grayhawk Trail</t>
  </si>
  <si>
    <t>38695 Kenwood Circle</t>
  </si>
  <si>
    <t>76 Shelley Pass</t>
  </si>
  <si>
    <t>3 Ilene Terrace</t>
  </si>
  <si>
    <t>667 Arkansas Circle</t>
  </si>
  <si>
    <t>60094 Goodland Junction</t>
  </si>
  <si>
    <t>93321 Kennedy Point</t>
  </si>
  <si>
    <t>39 Oxford Drive</t>
  </si>
  <si>
    <t>6 Hanover Terrace</t>
  </si>
  <si>
    <t>4 Hagan Court</t>
  </si>
  <si>
    <t>3 Forster Point</t>
  </si>
  <si>
    <t>8 Hanover Center</t>
  </si>
  <si>
    <t>29755 Daystar Street</t>
  </si>
  <si>
    <t>9 Cordelia Trail</t>
  </si>
  <si>
    <t>9469 Bayside Plaza</t>
  </si>
  <si>
    <t>07359 Porter Park</t>
  </si>
  <si>
    <t>0 Stoughton Terrace</t>
  </si>
  <si>
    <t>402 Kings Road</t>
  </si>
  <si>
    <t>97 Walton Avenue</t>
  </si>
  <si>
    <t>9262 Sullivan Crossing</t>
  </si>
  <si>
    <t>70862 Lighthouse Bay Junction</t>
  </si>
  <si>
    <t>27 New Castle Avenue</t>
  </si>
  <si>
    <t>38 Rutledge Plaza</t>
  </si>
  <si>
    <t>95 Lerdahl Park</t>
  </si>
  <si>
    <t>85408 Toban Crossing</t>
  </si>
  <si>
    <t>55 Morning Terrace</t>
  </si>
  <si>
    <t>9327 Hanover Way</t>
  </si>
  <si>
    <t>40113 Blaine Place</t>
  </si>
  <si>
    <t>68241 Hanson Circle</t>
  </si>
  <si>
    <t>84575 Randy Point</t>
  </si>
  <si>
    <t>7 Duke Parkway</t>
  </si>
  <si>
    <t>29150 Farmco Crossing</t>
  </si>
  <si>
    <t>6251 Eliot Hill</t>
  </si>
  <si>
    <t>588 Waywood Trail</t>
  </si>
  <si>
    <t>01471 Burrows Lane</t>
  </si>
  <si>
    <t>21 Esker Way</t>
  </si>
  <si>
    <t>08492 Gateway Terrace</t>
  </si>
  <si>
    <t>79878 Katie Trail</t>
  </si>
  <si>
    <t>109 Twin Pines Avenue</t>
  </si>
  <si>
    <t>88 Hooker Parkway</t>
  </si>
  <si>
    <t>8 Russell Pass</t>
  </si>
  <si>
    <t>83894 Delaware Plaza</t>
  </si>
  <si>
    <t>6 Lunder Parkway</t>
  </si>
  <si>
    <t>6 Messerschmidt Place</t>
  </si>
  <si>
    <t>43 Heath Street</t>
  </si>
  <si>
    <t>3 Fairfield Center</t>
  </si>
  <si>
    <t>4 Stang Place</t>
  </si>
  <si>
    <t>4029 Lotheville Pass</t>
  </si>
  <si>
    <t>126 Spohn Plaza</t>
  </si>
  <si>
    <t>66 Raven Pass</t>
  </si>
  <si>
    <t>69 Orin Plaza</t>
  </si>
  <si>
    <t>108 Morning Center</t>
  </si>
  <si>
    <t>98 Bartillon Trail</t>
  </si>
  <si>
    <t>51 7th Court</t>
  </si>
  <si>
    <t>81503 Graedel Plaza</t>
  </si>
  <si>
    <t>156 Golf Course Alley</t>
  </si>
  <si>
    <t>389 Ridgeway Park</t>
  </si>
  <si>
    <t>018 Oxford Crossing</t>
  </si>
  <si>
    <t>34 Fremont Point</t>
  </si>
  <si>
    <t>51205 Rieder Junction</t>
  </si>
  <si>
    <t>7232 Ridgeway Center</t>
  </si>
  <si>
    <t>09 Londonderry Hill</t>
  </si>
  <si>
    <t>76 Toban Plaza</t>
  </si>
  <si>
    <t>7096 Mcguire Park</t>
  </si>
  <si>
    <t>99 Duke Lane</t>
  </si>
  <si>
    <t>005 Tomscot Hill</t>
  </si>
  <si>
    <t>00847 Reindahl Place</t>
  </si>
  <si>
    <t>329 Helena Park</t>
  </si>
  <si>
    <t>041 Paget Alley</t>
  </si>
  <si>
    <t>38726 Gina Pass</t>
  </si>
  <si>
    <t>1823 Elgar Park</t>
  </si>
  <si>
    <t>1 Lake View Trail</t>
  </si>
  <si>
    <t>77563 Russell Lane</t>
  </si>
  <si>
    <t>19180 Hagan Parkway</t>
  </si>
  <si>
    <t>9 Holmberg Circle</t>
  </si>
  <si>
    <t>0 Lerdahl Parkway</t>
  </si>
  <si>
    <t>6 Nobel Junction</t>
  </si>
  <si>
    <t>6 Anthes Court</t>
  </si>
  <si>
    <t>82955 Dayton Street</t>
  </si>
  <si>
    <t>4 Heffernan Lane</t>
  </si>
  <si>
    <t>35 Waxwing Center</t>
  </si>
  <si>
    <t>7 West Street</t>
  </si>
  <si>
    <t>676 Redwing Trail</t>
  </si>
  <si>
    <t>95 Onsgard Way</t>
  </si>
  <si>
    <t>01330 Sheridan Way</t>
  </si>
  <si>
    <t>0 Miller Pass</t>
  </si>
  <si>
    <t>53 Caliangt Junction</t>
  </si>
  <si>
    <t>4 Bashford Court</t>
  </si>
  <si>
    <t>04 Rockefeller Terrace</t>
  </si>
  <si>
    <t>6 Anniversary Circle</t>
  </si>
  <si>
    <t>84148 Prairie Rose Center</t>
  </si>
  <si>
    <t>851 Hollow Ridge Center</t>
  </si>
  <si>
    <t>736 Redwing Parkway</t>
  </si>
  <si>
    <t>911 Merry Junction</t>
  </si>
  <si>
    <t>482 Green Center</t>
  </si>
  <si>
    <t>9738 Old Shore Trail</t>
  </si>
  <si>
    <t>959 Dorton Pass</t>
  </si>
  <si>
    <t>43211 Lakeland Place</t>
  </si>
  <si>
    <t>66879 Susan Place</t>
  </si>
  <si>
    <t>582 Sauthoff Crossing</t>
  </si>
  <si>
    <t>97687 Mendota Terrace</t>
  </si>
  <si>
    <t>36 Bobwhite Parkway</t>
  </si>
  <si>
    <t>0 Sutteridge Trail</t>
  </si>
  <si>
    <t>17780 Lindbergh Junction</t>
  </si>
  <si>
    <t>13 Loomis Alley</t>
  </si>
  <si>
    <t>19 Aberg Trail</t>
  </si>
  <si>
    <t>938 Hanover Point</t>
  </si>
  <si>
    <t>2 Kingsford Center</t>
  </si>
  <si>
    <t>42397 Knutson Place</t>
  </si>
  <si>
    <t>611 Fieldstone Drive</t>
  </si>
  <si>
    <t>25923 Loeprich Junction</t>
  </si>
  <si>
    <t>7834 Cordelia Alley</t>
  </si>
  <si>
    <t>929 Thierer Lane</t>
  </si>
  <si>
    <t>973 Spaight Place</t>
  </si>
  <si>
    <t>883 Marcy Place</t>
  </si>
  <si>
    <t>6211 Hanson Terrace</t>
  </si>
  <si>
    <t>0 Oak Valley Lane</t>
  </si>
  <si>
    <t>84 Hoffman Way</t>
  </si>
  <si>
    <t>315 Acker Alley</t>
  </si>
  <si>
    <t>7 Anzinger Lane</t>
  </si>
  <si>
    <t>61057 Hallows Junction</t>
  </si>
  <si>
    <t>8851 Superior Park</t>
  </si>
  <si>
    <t>00 6th Parkway</t>
  </si>
  <si>
    <t>9848 Little Fleur Point</t>
  </si>
  <si>
    <t>12 Luster Terrace</t>
  </si>
  <si>
    <t>6 John Wall Plaza</t>
  </si>
  <si>
    <t>3 Dottie Junction</t>
  </si>
  <si>
    <t>7 Victoria Hill</t>
  </si>
  <si>
    <t>3 Logan Trail</t>
  </si>
  <si>
    <t>30590 Bowman Alley</t>
  </si>
  <si>
    <t>0 Lawn Parkway</t>
  </si>
  <si>
    <t>7 Lunder Hill</t>
  </si>
  <si>
    <t>4 Darwin Circle</t>
  </si>
  <si>
    <t>042 Di Loreto Court</t>
  </si>
  <si>
    <t>0743 4th Place</t>
  </si>
  <si>
    <t>32 Charing Cross Pass</t>
  </si>
  <si>
    <t>11 Thackeray Hill</t>
  </si>
  <si>
    <t>6225 Westend Pass</t>
  </si>
  <si>
    <t>97 Sunnyside Court</t>
  </si>
  <si>
    <t>63464 Jana Court</t>
  </si>
  <si>
    <t>6 Susan Alley</t>
  </si>
  <si>
    <t>1715 Dottie Pass</t>
  </si>
  <si>
    <t>91 Kinsman Terrace</t>
  </si>
  <si>
    <t>867 Merrick Place</t>
  </si>
  <si>
    <t>339 Crescent Oaks Plaza</t>
  </si>
  <si>
    <t>1 Judy Street</t>
  </si>
  <si>
    <t>996 Thierer Center</t>
  </si>
  <si>
    <t>06584 Mendota Avenue</t>
  </si>
  <si>
    <t>3 Raven Court</t>
  </si>
  <si>
    <t>84 Washington Crossing</t>
  </si>
  <si>
    <t>428 Oriole Avenue</t>
  </si>
  <si>
    <t>3 Melrose Trail</t>
  </si>
  <si>
    <t>290 Rusk Avenue</t>
  </si>
  <si>
    <t>0 Oxford Crossing</t>
  </si>
  <si>
    <t>99 Fair Oaks Circle</t>
  </si>
  <si>
    <t>461 Bluejay Circle</t>
  </si>
  <si>
    <t>21844 Artisan Trail</t>
  </si>
  <si>
    <t>081 Bellgrove Place</t>
  </si>
  <si>
    <t>6891 Mandrake Park</t>
  </si>
  <si>
    <t>73966 Pond Trail</t>
  </si>
  <si>
    <t>5 Warner Court</t>
  </si>
  <si>
    <t>9623 Cottonwood Park</t>
  </si>
  <si>
    <t>5 Mesta Center</t>
  </si>
  <si>
    <t>81071 West Alley</t>
  </si>
  <si>
    <t>38 Esch Pass</t>
  </si>
  <si>
    <t>8 Dawn Court</t>
  </si>
  <si>
    <t>2869 Hudson Drive</t>
  </si>
  <si>
    <t>83291 Hansons Crossing</t>
  </si>
  <si>
    <t>4 Esch Point</t>
  </si>
  <si>
    <t>492 Shoshone Road</t>
  </si>
  <si>
    <t>26 Graceland Circle</t>
  </si>
  <si>
    <t>9 Eastlawn Crossing</t>
  </si>
  <si>
    <t>22 Dexter Trail</t>
  </si>
  <si>
    <t>5030 Moose Junction</t>
  </si>
  <si>
    <t>206 Pine View Junction</t>
  </si>
  <si>
    <t>868 Swallow Point</t>
  </si>
  <si>
    <t>65 Merry Circle</t>
  </si>
  <si>
    <t>26 Barnett Junction</t>
  </si>
  <si>
    <t>36 Longview Street</t>
  </si>
  <si>
    <t>1034 2nd Point</t>
  </si>
  <si>
    <t>111 David Hill</t>
  </si>
  <si>
    <t>25 Nancy Place</t>
  </si>
  <si>
    <t>33424 Express Avenue</t>
  </si>
  <si>
    <t>67677 Lakewood Gardens Way</t>
  </si>
  <si>
    <t>884 Fieldstone Plaza</t>
  </si>
  <si>
    <t>4105 Fair Oaks Parkway</t>
  </si>
  <si>
    <t>665 Sommers Circle</t>
  </si>
  <si>
    <t>622 Buena Vista Trail</t>
  </si>
  <si>
    <t>083 Gulseth Pass</t>
  </si>
  <si>
    <t>022 Prairie Rose Drive</t>
  </si>
  <si>
    <t>0 Oneill Hill</t>
  </si>
  <si>
    <t>992 East Point</t>
  </si>
  <si>
    <t>21629 Burrows Pass</t>
  </si>
  <si>
    <t>5414 Linden Point</t>
  </si>
  <si>
    <t>60 Messerschmidt Pass</t>
  </si>
  <si>
    <t>92 Bartelt Terrace</t>
  </si>
  <si>
    <t>071 Nobel Circle</t>
  </si>
  <si>
    <t>30880 Barnett Junction</t>
  </si>
  <si>
    <t>116 Spaight Park</t>
  </si>
  <si>
    <t>317 Anniversary Pass</t>
  </si>
  <si>
    <t>5 Killdeer Trail</t>
  </si>
  <si>
    <t>05 Bartelt Street</t>
  </si>
  <si>
    <t>55 Cherokee Circle</t>
  </si>
  <si>
    <t>387 Jay Point</t>
  </si>
  <si>
    <t>9695 Alpine Trail</t>
  </si>
  <si>
    <t>1468 Meadow Vale Court</t>
  </si>
  <si>
    <t>022 Pierstorff Point</t>
  </si>
  <si>
    <t>33 Clarendon Hill</t>
  </si>
  <si>
    <t>2 School Drive</t>
  </si>
  <si>
    <t>120 Gale Circle</t>
  </si>
  <si>
    <t>582 Dahle Center</t>
  </si>
  <si>
    <t>39014 Randy Court</t>
  </si>
  <si>
    <t>4247 David Crossing</t>
  </si>
  <si>
    <t>6482 Ramsey Alley</t>
  </si>
  <si>
    <t>153 Caliangt Plaza</t>
  </si>
  <si>
    <t>99 Twin Pines Alley</t>
  </si>
  <si>
    <t>6 Swallow Crossing</t>
  </si>
  <si>
    <t>53894 Myrtle Place</t>
  </si>
  <si>
    <t>1275 Lawn Center</t>
  </si>
  <si>
    <t>504 Green Park</t>
  </si>
  <si>
    <t>9 Bartillon Trail</t>
  </si>
  <si>
    <t>5900 Vahlen Avenue</t>
  </si>
  <si>
    <t>6990 Kings Place</t>
  </si>
  <si>
    <t>4 Old Shore Avenue</t>
  </si>
  <si>
    <t>012 Mockingbird Court</t>
  </si>
  <si>
    <t>739 Rowland Way</t>
  </si>
  <si>
    <t>772 Golf Course Junction</t>
  </si>
  <si>
    <t>231 Merry Pass</t>
  </si>
  <si>
    <t>7 Hooker Way</t>
  </si>
  <si>
    <t>48 Del Sol Trail</t>
  </si>
  <si>
    <t>76 Independence Drive</t>
  </si>
  <si>
    <t>08 Randy Junction</t>
  </si>
  <si>
    <t>94451 Arkansas Park</t>
  </si>
  <si>
    <t>322 Birchwood Center</t>
  </si>
  <si>
    <t>5 Homewood Street</t>
  </si>
  <si>
    <t>3 Hooker Way</t>
  </si>
  <si>
    <t>8 Surrey Pass</t>
  </si>
  <si>
    <t>2 Petterle Road</t>
  </si>
  <si>
    <t>57598 Russell Center</t>
  </si>
  <si>
    <t>73397 Steensland Circle</t>
  </si>
  <si>
    <t>8 Autumn Leaf Drive</t>
  </si>
  <si>
    <t>9463 Northland Court</t>
  </si>
  <si>
    <t>41 Nelson Center</t>
  </si>
  <si>
    <t>2633 Shasta Alley</t>
  </si>
  <si>
    <t>904 Del Mar Crossing</t>
  </si>
  <si>
    <t>33774 Carberry Circle</t>
  </si>
  <si>
    <t>2 Barby Lane</t>
  </si>
  <si>
    <t>44638 Corscot Lane</t>
  </si>
  <si>
    <t>4 Jay Terrace</t>
  </si>
  <si>
    <t>49476 Tony Hill</t>
  </si>
  <si>
    <t>3645 Ridge Oak Drive</t>
  </si>
  <si>
    <t>20073 Northfield Way</t>
  </si>
  <si>
    <t>955 4th Road</t>
  </si>
  <si>
    <t>226 Calypso Road</t>
  </si>
  <si>
    <t>3 Hermina Circle</t>
  </si>
  <si>
    <t>561 Blue Bill Park Road</t>
  </si>
  <si>
    <t>05944 Scott Parkway</t>
  </si>
  <si>
    <t>6 Acker Street</t>
  </si>
  <si>
    <t>739 Swallow Road</t>
  </si>
  <si>
    <t>2 Basil Street</t>
  </si>
  <si>
    <t>60241 Portage Point</t>
  </si>
  <si>
    <t>5426 Fordem Pass</t>
  </si>
  <si>
    <t>15 Veith Circle</t>
  </si>
  <si>
    <t>1 Hudson Hill</t>
  </si>
  <si>
    <t>15658 Talisman Lane</t>
  </si>
  <si>
    <t>35 Portage Road</t>
  </si>
  <si>
    <t>308 Doe Crossing Pass</t>
  </si>
  <si>
    <t>127 Eliot Road</t>
  </si>
  <si>
    <t>3 Bunting Point</t>
  </si>
  <si>
    <t>6 Harbort Hill</t>
  </si>
  <si>
    <t>376 Reinke Court</t>
  </si>
  <si>
    <t>3 Ronald Regan Center</t>
  </si>
  <si>
    <t>43107 Schlimgen Circle</t>
  </si>
  <si>
    <t>28 Boyd Pass</t>
  </si>
  <si>
    <t>62238 Mallory Place</t>
  </si>
  <si>
    <t>9516 Burrows Circle</t>
  </si>
  <si>
    <t>1008 Welch Street</t>
  </si>
  <si>
    <t>1700 Briar Crest Parkway</t>
  </si>
  <si>
    <t>53 Homewood Alley</t>
  </si>
  <si>
    <t>43591 East Road</t>
  </si>
  <si>
    <t>79 Cardinal Court</t>
  </si>
  <si>
    <t>26240 Maple Wood Place</t>
  </si>
  <si>
    <t>78 Forest Dale Road</t>
  </si>
  <si>
    <t>25696 Westerfield Alley</t>
  </si>
  <si>
    <t>56 Petterle Circle</t>
  </si>
  <si>
    <t>1247 Hoard Hill</t>
  </si>
  <si>
    <t>700 Northland Crossing</t>
  </si>
  <si>
    <t>8 Heffernan Point</t>
  </si>
  <si>
    <t>39 Dovetail Terrace</t>
  </si>
  <si>
    <t>5649 Vidon Plaza</t>
  </si>
  <si>
    <t>289 Longview Point</t>
  </si>
  <si>
    <t>46989 Crescent Oaks Junction</t>
  </si>
  <si>
    <t>13799 Quincy Park</t>
  </si>
  <si>
    <t>05433 Towne Terrace</t>
  </si>
  <si>
    <t>44 Kensington Road</t>
  </si>
  <si>
    <t>668 Claremont Place</t>
  </si>
  <si>
    <t>674 Ryan Alley</t>
  </si>
  <si>
    <t>00029 Fisk Point</t>
  </si>
  <si>
    <t>61224 Northridge Avenue</t>
  </si>
  <si>
    <t>24385 Prentice Plaza</t>
  </si>
  <si>
    <t>052 Northland Trail</t>
  </si>
  <si>
    <t>0109 Stang Terrace</t>
  </si>
  <si>
    <t>8 Kensington Place</t>
  </si>
  <si>
    <t>16 Elgar Point</t>
  </si>
  <si>
    <t>239 Anderson Court</t>
  </si>
  <si>
    <t>1 Havey Park</t>
  </si>
  <si>
    <t>938 Garrison Court</t>
  </si>
  <si>
    <t>21379 Stoughton Junction</t>
  </si>
  <si>
    <t>60 Towne Hill</t>
  </si>
  <si>
    <t>96420 Briar Crest Lane</t>
  </si>
  <si>
    <t>0 Fordem Place</t>
  </si>
  <si>
    <t>365 Vera Terrace</t>
  </si>
  <si>
    <t>43 Washington Street</t>
  </si>
  <si>
    <t>37 Browning Trail</t>
  </si>
  <si>
    <t>32525 Marquette Park</t>
  </si>
  <si>
    <t>Product_ID</t>
  </si>
  <si>
    <t>Product_Name</t>
  </si>
  <si>
    <t>Current_Stock</t>
  </si>
  <si>
    <t>Inventory_Value</t>
  </si>
  <si>
    <t>Stock_Status</t>
  </si>
  <si>
    <t>Avg_Daily_Demand</t>
  </si>
  <si>
    <t>Monthly_Demand</t>
  </si>
  <si>
    <t>Max_Daily_Demand</t>
  </si>
  <si>
    <t>Vegetable_Oil</t>
  </si>
  <si>
    <t>Parmesan_Cheese</t>
  </si>
  <si>
    <t>Coconut_Sugar</t>
  </si>
  <si>
    <t>Cheddar_Cheese</t>
  </si>
  <si>
    <t>Avocado_Oil</t>
  </si>
  <si>
    <t>Digestive_Biscuit</t>
  </si>
  <si>
    <t>Egg_(Turkey)</t>
  </si>
  <si>
    <t>Ricotta_Cheese</t>
  </si>
  <si>
    <t>Product_Name_</t>
  </si>
  <si>
    <t>Lead_Time_(Days)</t>
  </si>
  <si>
    <t>Minimum_Order_Quantity(MOQ)</t>
  </si>
  <si>
    <t>Order_Cost_per_Unit</t>
  </si>
  <si>
    <t>Bell_Pepper</t>
  </si>
  <si>
    <t>Whole_Wheat_Flour</t>
  </si>
  <si>
    <t>Sourdough_Bread</t>
  </si>
  <si>
    <t>Sour_Cream</t>
  </si>
  <si>
    <t>Palm_Oil</t>
  </si>
  <si>
    <t>Sesame_Oil</t>
  </si>
  <si>
    <t>Feta_Cheese</t>
  </si>
  <si>
    <t>Peanut_Oil</t>
  </si>
  <si>
    <t>Whipped_Cream</t>
  </si>
  <si>
    <t>Sunflower_Oil</t>
  </si>
  <si>
    <t>Greek_Yogurt</t>
  </si>
  <si>
    <t>Rye_Bread</t>
  </si>
  <si>
    <t>Brown_Rice</t>
  </si>
  <si>
    <t>Egg_(Quail)</t>
  </si>
  <si>
    <t>Herbal_Tea</t>
  </si>
  <si>
    <t>Coconut_Oil</t>
  </si>
  <si>
    <t>Evaporated_Milk</t>
  </si>
  <si>
    <t>Powdered_Sugar</t>
  </si>
  <si>
    <t>Gouda_Cheese</t>
  </si>
  <si>
    <t>Canola_Oil</t>
  </si>
  <si>
    <t>Basmati_Rice</t>
  </si>
  <si>
    <t>Oatmeal_Biscuit</t>
  </si>
  <si>
    <t>Green_Beans</t>
  </si>
  <si>
    <t>Cottage_Cheese</t>
  </si>
  <si>
    <t>Multigrain_Bread</t>
  </si>
  <si>
    <t>Corn_Oil</t>
  </si>
  <si>
    <t>Green_Tea</t>
  </si>
  <si>
    <t>Swiss_Cheese</t>
  </si>
  <si>
    <t>White_Bread</t>
  </si>
  <si>
    <t>Mozzarella_Cheese</t>
  </si>
  <si>
    <t>P001</t>
  </si>
  <si>
    <t>GreenLeaf Produce</t>
  </si>
  <si>
    <t>P002</t>
  </si>
  <si>
    <t>PurePress Oils</t>
  </si>
  <si>
    <t>P003</t>
  </si>
  <si>
    <t>Dairy Fresh</t>
  </si>
  <si>
    <t>P004</t>
  </si>
  <si>
    <t>P005</t>
  </si>
  <si>
    <t>P006</t>
  </si>
  <si>
    <t>Organic Harvest</t>
  </si>
  <si>
    <t>P007</t>
  </si>
  <si>
    <t>Grain Millers</t>
  </si>
  <si>
    <t>P008</t>
  </si>
  <si>
    <t>Ocean Harvest</t>
  </si>
  <si>
    <t>P009</t>
  </si>
  <si>
    <t>Creamy Delights</t>
  </si>
  <si>
    <t>P010</t>
  </si>
  <si>
    <t>Pure Milk Co.</t>
  </si>
  <si>
    <t>P011</t>
  </si>
  <si>
    <t>P012</t>
  </si>
  <si>
    <t>Olive Grove</t>
  </si>
  <si>
    <t>P013</t>
  </si>
  <si>
    <t>FreshGrow Farms</t>
  </si>
  <si>
    <t>P014</t>
  </si>
  <si>
    <t>Golden Crust</t>
  </si>
  <si>
    <t>P015</t>
  </si>
  <si>
    <t>P016</t>
  </si>
  <si>
    <t>P017</t>
  </si>
  <si>
    <t>P018</t>
  </si>
  <si>
    <t>P019</t>
  </si>
  <si>
    <t>P020</t>
  </si>
  <si>
    <t>Pulse Pioneers</t>
  </si>
  <si>
    <t>P021</t>
  </si>
  <si>
    <t>Deep Sea Catch</t>
  </si>
  <si>
    <t>P022</t>
  </si>
  <si>
    <t>Grapeseed_Oil</t>
  </si>
  <si>
    <t>Golden Fat Co.</t>
  </si>
  <si>
    <t>P023</t>
  </si>
  <si>
    <t>Almond_Milk</t>
  </si>
  <si>
    <t>P024</t>
  </si>
  <si>
    <t>P025</t>
  </si>
  <si>
    <t>Pumpernickel_Bread</t>
  </si>
  <si>
    <t>Bakers Choice</t>
  </si>
  <si>
    <t>P026</t>
  </si>
  <si>
    <t>Swordfish</t>
  </si>
  <si>
    <t>Bay Side Seafood</t>
  </si>
  <si>
    <t>P027</t>
  </si>
  <si>
    <t>P028</t>
  </si>
  <si>
    <t>Baguette</t>
  </si>
  <si>
    <t>P029</t>
  </si>
  <si>
    <t>Quenchers Inc.</t>
  </si>
  <si>
    <t>P030</t>
  </si>
  <si>
    <t>Lobster</t>
  </si>
  <si>
    <t>P031</t>
  </si>
  <si>
    <t>Daily Bread</t>
  </si>
  <si>
    <t>P032</t>
  </si>
  <si>
    <t>Lentils</t>
  </si>
  <si>
    <t>Whole Grain Supply</t>
  </si>
  <si>
    <t>P033</t>
  </si>
  <si>
    <t>P034</t>
  </si>
  <si>
    <t>Soda</t>
  </si>
  <si>
    <t>Pure Sip</t>
  </si>
  <si>
    <t>P035</t>
  </si>
  <si>
    <t>P036</t>
  </si>
  <si>
    <t>P037</t>
  </si>
  <si>
    <t>P038</t>
  </si>
  <si>
    <t>Shrimp</t>
  </si>
  <si>
    <t>P039</t>
  </si>
  <si>
    <t>P040</t>
  </si>
  <si>
    <t>Scallops</t>
  </si>
  <si>
    <t>P041</t>
  </si>
  <si>
    <t>Crab</t>
  </si>
  <si>
    <t>P042</t>
  </si>
  <si>
    <t>P043</t>
  </si>
  <si>
    <t>P044</t>
  </si>
  <si>
    <t>Clams</t>
  </si>
  <si>
    <t>P045</t>
  </si>
  <si>
    <t>Mussels</t>
  </si>
  <si>
    <t>P046</t>
  </si>
  <si>
    <t>Oysters</t>
  </si>
  <si>
    <t>P047</t>
  </si>
  <si>
    <t>P048</t>
  </si>
  <si>
    <t>P049</t>
  </si>
  <si>
    <t>Coffee_Beans</t>
  </si>
  <si>
    <t>Brew Masters</t>
  </si>
  <si>
    <t>P050</t>
  </si>
  <si>
    <t>Juice</t>
  </si>
  <si>
    <t>P051</t>
  </si>
  <si>
    <t>Sparkling_Water</t>
  </si>
  <si>
    <t>P052</t>
  </si>
  <si>
    <t>P053</t>
  </si>
  <si>
    <t>P054</t>
  </si>
  <si>
    <t>Brie_Cheese</t>
  </si>
  <si>
    <t>P055</t>
  </si>
  <si>
    <t>P056</t>
  </si>
  <si>
    <t>Blue_Cheese</t>
  </si>
  <si>
    <t>P057</t>
  </si>
  <si>
    <t>P058</t>
  </si>
  <si>
    <t>P059</t>
  </si>
  <si>
    <t>Soy_Milk</t>
  </si>
  <si>
    <t>P060</t>
  </si>
  <si>
    <t>Oat_Milk</t>
  </si>
  <si>
    <t>P061</t>
  </si>
  <si>
    <t>P062</t>
  </si>
  <si>
    <t>P063</t>
  </si>
  <si>
    <t>Cream_Cheese</t>
  </si>
  <si>
    <t>P064</t>
  </si>
  <si>
    <t>P065</t>
  </si>
  <si>
    <t>P066</t>
  </si>
  <si>
    <t>Condensed_Milk</t>
  </si>
  <si>
    <t>P067</t>
  </si>
  <si>
    <t>Ice_Cream</t>
  </si>
  <si>
    <t>P068</t>
  </si>
  <si>
    <t>Butter_Milk</t>
  </si>
  <si>
    <t>P069</t>
  </si>
  <si>
    <t>Ghee</t>
  </si>
  <si>
    <t>P070</t>
  </si>
  <si>
    <t>Margarine</t>
  </si>
  <si>
    <t>P071</t>
  </si>
  <si>
    <t>P072</t>
  </si>
  <si>
    <t>P073</t>
  </si>
  <si>
    <t>P074</t>
  </si>
  <si>
    <t>Flaxseed_Oil</t>
  </si>
  <si>
    <t>P075</t>
  </si>
  <si>
    <t>Lard</t>
  </si>
  <si>
    <t>P076</t>
  </si>
  <si>
    <t>Shortening</t>
  </si>
  <si>
    <t>P077</t>
  </si>
  <si>
    <t>Extra_Virgin_Olive_Oil</t>
  </si>
  <si>
    <t>P078</t>
  </si>
  <si>
    <t>Honey</t>
  </si>
  <si>
    <t>P079</t>
  </si>
  <si>
    <t>Maple_Syrup</t>
  </si>
  <si>
    <t>P080</t>
  </si>
  <si>
    <t>P081</t>
  </si>
  <si>
    <t>P082</t>
  </si>
  <si>
    <t>P083</t>
  </si>
  <si>
    <t>P084</t>
  </si>
  <si>
    <t>P085</t>
  </si>
  <si>
    <t>P086</t>
  </si>
  <si>
    <t>P087</t>
  </si>
  <si>
    <t>P088</t>
  </si>
  <si>
    <t>P089</t>
  </si>
  <si>
    <t>P090</t>
  </si>
  <si>
    <t>P091</t>
  </si>
  <si>
    <t>P092</t>
  </si>
  <si>
    <t>P093</t>
  </si>
  <si>
    <t>P094</t>
  </si>
  <si>
    <t>P095</t>
  </si>
  <si>
    <t>P096</t>
  </si>
  <si>
    <t>P097</t>
  </si>
  <si>
    <t>P098</t>
  </si>
  <si>
    <t>P099</t>
  </si>
  <si>
    <t>P100</t>
  </si>
  <si>
    <t>P101</t>
  </si>
  <si>
    <t>P102</t>
  </si>
  <si>
    <t>Flounder</t>
  </si>
  <si>
    <t>P103</t>
  </si>
  <si>
    <t>Snapper</t>
  </si>
  <si>
    <t>P104</t>
  </si>
  <si>
    <t>Catfish</t>
  </si>
  <si>
    <t>P105</t>
  </si>
  <si>
    <t>Perch</t>
  </si>
  <si>
    <t>P106</t>
  </si>
  <si>
    <t>Sea_Bass</t>
  </si>
  <si>
    <t>P107</t>
  </si>
  <si>
    <t>P108</t>
  </si>
  <si>
    <t>Herring</t>
  </si>
  <si>
    <t>P109</t>
  </si>
  <si>
    <t>P110</t>
  </si>
  <si>
    <t>Octopus</t>
  </si>
  <si>
    <t>P111</t>
  </si>
  <si>
    <t>Squid</t>
  </si>
  <si>
    <t>P112</t>
  </si>
  <si>
    <t>Eel</t>
  </si>
  <si>
    <t>P113</t>
  </si>
  <si>
    <t>Crayfish</t>
  </si>
  <si>
    <t>P114</t>
  </si>
  <si>
    <t>Prawns</t>
  </si>
  <si>
    <t>P115</t>
  </si>
  <si>
    <t>P116</t>
  </si>
  <si>
    <t>P117</t>
  </si>
  <si>
    <t>P118</t>
  </si>
  <si>
    <t>P119</t>
  </si>
  <si>
    <t>P120</t>
  </si>
  <si>
    <t>P121</t>
  </si>
  <si>
    <t xml:space="preserve"> Location</t>
  </si>
  <si>
    <t>Transaction_ID</t>
  </si>
  <si>
    <t>T0001</t>
  </si>
  <si>
    <t>T0002</t>
  </si>
  <si>
    <t>T0003</t>
  </si>
  <si>
    <t>T0004</t>
  </si>
  <si>
    <t>T0005</t>
  </si>
  <si>
    <t>T0006</t>
  </si>
  <si>
    <t>T0007</t>
  </si>
  <si>
    <t>T0008</t>
  </si>
  <si>
    <t>T0009</t>
  </si>
  <si>
    <t>T0010</t>
  </si>
  <si>
    <t>T0011</t>
  </si>
  <si>
    <t>T0012</t>
  </si>
  <si>
    <t>T0013</t>
  </si>
  <si>
    <t>T0014</t>
  </si>
  <si>
    <t>T0015</t>
  </si>
  <si>
    <t>T0016</t>
  </si>
  <si>
    <t>T0017</t>
  </si>
  <si>
    <t>T0018</t>
  </si>
  <si>
    <t>T0019</t>
  </si>
  <si>
    <t>T0020</t>
  </si>
  <si>
    <t>T0021</t>
  </si>
  <si>
    <t>T0022</t>
  </si>
  <si>
    <t>T0023</t>
  </si>
  <si>
    <t>T0024</t>
  </si>
  <si>
    <t>T0025</t>
  </si>
  <si>
    <t>T0026</t>
  </si>
  <si>
    <t>T0027</t>
  </si>
  <si>
    <t>T0028</t>
  </si>
  <si>
    <t>T0029</t>
  </si>
  <si>
    <t>T0030</t>
  </si>
  <si>
    <t>T0031</t>
  </si>
  <si>
    <t>T0032</t>
  </si>
  <si>
    <t>T0033</t>
  </si>
  <si>
    <t>T0034</t>
  </si>
  <si>
    <t>T0035</t>
  </si>
  <si>
    <t>T0036</t>
  </si>
  <si>
    <t>T0037</t>
  </si>
  <si>
    <t>T0038</t>
  </si>
  <si>
    <t>T0039</t>
  </si>
  <si>
    <t>T0040</t>
  </si>
  <si>
    <t>T0041</t>
  </si>
  <si>
    <t>T0042</t>
  </si>
  <si>
    <t>T0043</t>
  </si>
  <si>
    <t>T0044</t>
  </si>
  <si>
    <t>T0045</t>
  </si>
  <si>
    <t>T0046</t>
  </si>
  <si>
    <t>T0047</t>
  </si>
  <si>
    <t>T0048</t>
  </si>
  <si>
    <t>T0049</t>
  </si>
  <si>
    <t>T0050</t>
  </si>
  <si>
    <t>T0051</t>
  </si>
  <si>
    <t>T0052</t>
  </si>
  <si>
    <t>T0053</t>
  </si>
  <si>
    <t>T0054</t>
  </si>
  <si>
    <t>T0055</t>
  </si>
  <si>
    <t>T0056</t>
  </si>
  <si>
    <t>T0057</t>
  </si>
  <si>
    <t>T0058</t>
  </si>
  <si>
    <t>T0059</t>
  </si>
  <si>
    <t>T0060</t>
  </si>
  <si>
    <t>T0061</t>
  </si>
  <si>
    <t>T0062</t>
  </si>
  <si>
    <t>T0063</t>
  </si>
  <si>
    <t>T0064</t>
  </si>
  <si>
    <t>T0065</t>
  </si>
  <si>
    <t>T0066</t>
  </si>
  <si>
    <t>T0067</t>
  </si>
  <si>
    <t>T0068</t>
  </si>
  <si>
    <t>T0069</t>
  </si>
  <si>
    <t>T0070</t>
  </si>
  <si>
    <t>T0071</t>
  </si>
  <si>
    <t>T0072</t>
  </si>
  <si>
    <t>T0073</t>
  </si>
  <si>
    <t>T0074</t>
  </si>
  <si>
    <t>T0075</t>
  </si>
  <si>
    <t>T0076</t>
  </si>
  <si>
    <t>T0077</t>
  </si>
  <si>
    <t>T0078</t>
  </si>
  <si>
    <t>T0079</t>
  </si>
  <si>
    <t>T0080</t>
  </si>
  <si>
    <t>T0081</t>
  </si>
  <si>
    <t>T0082</t>
  </si>
  <si>
    <t>T0083</t>
  </si>
  <si>
    <t>T0084</t>
  </si>
  <si>
    <t>T0085</t>
  </si>
  <si>
    <t>T0086</t>
  </si>
  <si>
    <t>T0087</t>
  </si>
  <si>
    <t>T0088</t>
  </si>
  <si>
    <t>T0089</t>
  </si>
  <si>
    <t>T0090</t>
  </si>
  <si>
    <t>T0091</t>
  </si>
  <si>
    <t>T0092</t>
  </si>
  <si>
    <t>T0093</t>
  </si>
  <si>
    <t>T0094</t>
  </si>
  <si>
    <t>T0095</t>
  </si>
  <si>
    <t>T0096</t>
  </si>
  <si>
    <t>T0097</t>
  </si>
  <si>
    <t>T0098</t>
  </si>
  <si>
    <t>T0099</t>
  </si>
  <si>
    <t>T0100</t>
  </si>
  <si>
    <t>T0101</t>
  </si>
  <si>
    <t>T0102</t>
  </si>
  <si>
    <t>T0103</t>
  </si>
  <si>
    <t>T0104</t>
  </si>
  <si>
    <t>T0105</t>
  </si>
  <si>
    <t>T0106</t>
  </si>
  <si>
    <t>T0107</t>
  </si>
  <si>
    <t>T0108</t>
  </si>
  <si>
    <t>T0109</t>
  </si>
  <si>
    <t>T0110</t>
  </si>
  <si>
    <t>T0111</t>
  </si>
  <si>
    <t>T0112</t>
  </si>
  <si>
    <t>T0113</t>
  </si>
  <si>
    <t>T0114</t>
  </si>
  <si>
    <t>T0115</t>
  </si>
  <si>
    <t>T0116</t>
  </si>
  <si>
    <t>T0117</t>
  </si>
  <si>
    <t>T0118</t>
  </si>
  <si>
    <t>T0119</t>
  </si>
  <si>
    <t>T0120</t>
  </si>
  <si>
    <t>T0121</t>
  </si>
  <si>
    <t>T0122</t>
  </si>
  <si>
    <t>T0123</t>
  </si>
  <si>
    <t>T0124</t>
  </si>
  <si>
    <t>T0125</t>
  </si>
  <si>
    <t>T0126</t>
  </si>
  <si>
    <t>T0127</t>
  </si>
  <si>
    <t>T0128</t>
  </si>
  <si>
    <t>T0129</t>
  </si>
  <si>
    <t>T0130</t>
  </si>
  <si>
    <t>T0131</t>
  </si>
  <si>
    <t>T0132</t>
  </si>
  <si>
    <t>T0133</t>
  </si>
  <si>
    <t>T0134</t>
  </si>
  <si>
    <t>T0135</t>
  </si>
  <si>
    <t>T0136</t>
  </si>
  <si>
    <t>T0137</t>
  </si>
  <si>
    <t>T0138</t>
  </si>
  <si>
    <t>T0139</t>
  </si>
  <si>
    <t>T0140</t>
  </si>
  <si>
    <t>T0141</t>
  </si>
  <si>
    <t>T0142</t>
  </si>
  <si>
    <t>T0143</t>
  </si>
  <si>
    <t>T0144</t>
  </si>
  <si>
    <t>T0145</t>
  </si>
  <si>
    <t>T0146</t>
  </si>
  <si>
    <t>T0147</t>
  </si>
  <si>
    <t>T0148</t>
  </si>
  <si>
    <t>T0149</t>
  </si>
  <si>
    <t>T0150</t>
  </si>
  <si>
    <t>T0151</t>
  </si>
  <si>
    <t>T0152</t>
  </si>
  <si>
    <t>T0153</t>
  </si>
  <si>
    <t>T0154</t>
  </si>
  <si>
    <t>T0155</t>
  </si>
  <si>
    <t>T0156</t>
  </si>
  <si>
    <t>T0157</t>
  </si>
  <si>
    <t>T0158</t>
  </si>
  <si>
    <t>T0159</t>
  </si>
  <si>
    <t>T0160</t>
  </si>
  <si>
    <t>T0161</t>
  </si>
  <si>
    <t>T0162</t>
  </si>
  <si>
    <t>T0163</t>
  </si>
  <si>
    <t>T0164</t>
  </si>
  <si>
    <t>T0165</t>
  </si>
  <si>
    <t>T0166</t>
  </si>
  <si>
    <t>T0167</t>
  </si>
  <si>
    <t>T0168</t>
  </si>
  <si>
    <t>T0169</t>
  </si>
  <si>
    <t>T0170</t>
  </si>
  <si>
    <t>T0171</t>
  </si>
  <si>
    <t>T0172</t>
  </si>
  <si>
    <t>T0173</t>
  </si>
  <si>
    <t>T0174</t>
  </si>
  <si>
    <t>T0175</t>
  </si>
  <si>
    <t>T0176</t>
  </si>
  <si>
    <t>T0177</t>
  </si>
  <si>
    <t>T0178</t>
  </si>
  <si>
    <t>T0179</t>
  </si>
  <si>
    <t>T0180</t>
  </si>
  <si>
    <t>T0181</t>
  </si>
  <si>
    <t>T0182</t>
  </si>
  <si>
    <t>T0183</t>
  </si>
  <si>
    <t>T0184</t>
  </si>
  <si>
    <t>T0185</t>
  </si>
  <si>
    <t>T0186</t>
  </si>
  <si>
    <t>T0187</t>
  </si>
  <si>
    <t>T0188</t>
  </si>
  <si>
    <t>T0189</t>
  </si>
  <si>
    <t>T0190</t>
  </si>
  <si>
    <t>T0191</t>
  </si>
  <si>
    <t>T0192</t>
  </si>
  <si>
    <t>T0193</t>
  </si>
  <si>
    <t>T0194</t>
  </si>
  <si>
    <t>T0195</t>
  </si>
  <si>
    <t>T0196</t>
  </si>
  <si>
    <t>T0197</t>
  </si>
  <si>
    <t>T0198</t>
  </si>
  <si>
    <t>T0199</t>
  </si>
  <si>
    <t>T0200</t>
  </si>
  <si>
    <t>T0201</t>
  </si>
  <si>
    <t>T0202</t>
  </si>
  <si>
    <t>T0203</t>
  </si>
  <si>
    <t>T0204</t>
  </si>
  <si>
    <t>T0205</t>
  </si>
  <si>
    <t>T0206</t>
  </si>
  <si>
    <t>T0207</t>
  </si>
  <si>
    <t>T0208</t>
  </si>
  <si>
    <t>T0209</t>
  </si>
  <si>
    <t>T0210</t>
  </si>
  <si>
    <t>T0211</t>
  </si>
  <si>
    <t>T0212</t>
  </si>
  <si>
    <t>T0213</t>
  </si>
  <si>
    <t>T0214</t>
  </si>
  <si>
    <t>T0215</t>
  </si>
  <si>
    <t>T0216</t>
  </si>
  <si>
    <t>T0217</t>
  </si>
  <si>
    <t>T0218</t>
  </si>
  <si>
    <t>T0219</t>
  </si>
  <si>
    <t>T0220</t>
  </si>
  <si>
    <t>T0221</t>
  </si>
  <si>
    <t>T0222</t>
  </si>
  <si>
    <t>T0223</t>
  </si>
  <si>
    <t>T0224</t>
  </si>
  <si>
    <t>T0225</t>
  </si>
  <si>
    <t>T0226</t>
  </si>
  <si>
    <t>T0227</t>
  </si>
  <si>
    <t>T0228</t>
  </si>
  <si>
    <t>T0229</t>
  </si>
  <si>
    <t>T0230</t>
  </si>
  <si>
    <t>T0231</t>
  </si>
  <si>
    <t>T0232</t>
  </si>
  <si>
    <t>T0233</t>
  </si>
  <si>
    <t>T0234</t>
  </si>
  <si>
    <t>T0235</t>
  </si>
  <si>
    <t>T0236</t>
  </si>
  <si>
    <t>T0237</t>
  </si>
  <si>
    <t>T0238</t>
  </si>
  <si>
    <t>T0239</t>
  </si>
  <si>
    <t>T0240</t>
  </si>
  <si>
    <t>T0241</t>
  </si>
  <si>
    <t>T0242</t>
  </si>
  <si>
    <t>T0243</t>
  </si>
  <si>
    <t>T0244</t>
  </si>
  <si>
    <t>T0245</t>
  </si>
  <si>
    <t>T0246</t>
  </si>
  <si>
    <t>T0247</t>
  </si>
  <si>
    <t>T0248</t>
  </si>
  <si>
    <t>T0249</t>
  </si>
  <si>
    <t>T0250</t>
  </si>
  <si>
    <t>T0251</t>
  </si>
  <si>
    <t>T0252</t>
  </si>
  <si>
    <t>T0253</t>
  </si>
  <si>
    <t>T0254</t>
  </si>
  <si>
    <t>T0255</t>
  </si>
  <si>
    <t>T0256</t>
  </si>
  <si>
    <t>T0257</t>
  </si>
  <si>
    <t>T0258</t>
  </si>
  <si>
    <t>T0259</t>
  </si>
  <si>
    <t>T0260</t>
  </si>
  <si>
    <t>T0261</t>
  </si>
  <si>
    <t>T0262</t>
  </si>
  <si>
    <t>T0263</t>
  </si>
  <si>
    <t>T0264</t>
  </si>
  <si>
    <t>T0265</t>
  </si>
  <si>
    <t>T0266</t>
  </si>
  <si>
    <t>T0267</t>
  </si>
  <si>
    <t>T0268</t>
  </si>
  <si>
    <t>T0269</t>
  </si>
  <si>
    <t>T0270</t>
  </si>
  <si>
    <t>T0271</t>
  </si>
  <si>
    <t>T0272</t>
  </si>
  <si>
    <t>T0273</t>
  </si>
  <si>
    <t>T0274</t>
  </si>
  <si>
    <t>T0275</t>
  </si>
  <si>
    <t>T0276</t>
  </si>
  <si>
    <t>T0277</t>
  </si>
  <si>
    <t>T0278</t>
  </si>
  <si>
    <t>T0279</t>
  </si>
  <si>
    <t>T0280</t>
  </si>
  <si>
    <t>T0281</t>
  </si>
  <si>
    <t>T0282</t>
  </si>
  <si>
    <t>T0283</t>
  </si>
  <si>
    <t>T0284</t>
  </si>
  <si>
    <t>T0285</t>
  </si>
  <si>
    <t>T0286</t>
  </si>
  <si>
    <t>T0287</t>
  </si>
  <si>
    <t>T0288</t>
  </si>
  <si>
    <t>T0289</t>
  </si>
  <si>
    <t>T0290</t>
  </si>
  <si>
    <t>T0291</t>
  </si>
  <si>
    <t>T0292</t>
  </si>
  <si>
    <t>T0293</t>
  </si>
  <si>
    <t>T0294</t>
  </si>
  <si>
    <t>T0295</t>
  </si>
  <si>
    <t>T0296</t>
  </si>
  <si>
    <t>T0297</t>
  </si>
  <si>
    <t>T0298</t>
  </si>
  <si>
    <t>T0299</t>
  </si>
  <si>
    <t>T0300</t>
  </si>
  <si>
    <t>T0301</t>
  </si>
  <si>
    <t>T0302</t>
  </si>
  <si>
    <t>T0303</t>
  </si>
  <si>
    <t>T0304</t>
  </si>
  <si>
    <t>T0305</t>
  </si>
  <si>
    <t>T0306</t>
  </si>
  <si>
    <t>T0307</t>
  </si>
  <si>
    <t>T0308</t>
  </si>
  <si>
    <t>T0309</t>
  </si>
  <si>
    <t>T0310</t>
  </si>
  <si>
    <t>T0311</t>
  </si>
  <si>
    <t>T0312</t>
  </si>
  <si>
    <t>T0313</t>
  </si>
  <si>
    <t>T0314</t>
  </si>
  <si>
    <t>T0315</t>
  </si>
  <si>
    <t>T0316</t>
  </si>
  <si>
    <t>T0317</t>
  </si>
  <si>
    <t>T0318</t>
  </si>
  <si>
    <t>T0319</t>
  </si>
  <si>
    <t>T0320</t>
  </si>
  <si>
    <t>T0321</t>
  </si>
  <si>
    <t>T0322</t>
  </si>
  <si>
    <t>T0323</t>
  </si>
  <si>
    <t>T0324</t>
  </si>
  <si>
    <t>T0325</t>
  </si>
  <si>
    <t>T0326</t>
  </si>
  <si>
    <t>T0327</t>
  </si>
  <si>
    <t>T0328</t>
  </si>
  <si>
    <t>T0329</t>
  </si>
  <si>
    <t>T0330</t>
  </si>
  <si>
    <t>T0331</t>
  </si>
  <si>
    <t>T0332</t>
  </si>
  <si>
    <t>T0333</t>
  </si>
  <si>
    <t>T0334</t>
  </si>
  <si>
    <t>T0335</t>
  </si>
  <si>
    <t>T0336</t>
  </si>
  <si>
    <t>T0337</t>
  </si>
  <si>
    <t>T0338</t>
  </si>
  <si>
    <t>T0339</t>
  </si>
  <si>
    <t>T0340</t>
  </si>
  <si>
    <t>T0341</t>
  </si>
  <si>
    <t>T0342</t>
  </si>
  <si>
    <t>T0343</t>
  </si>
  <si>
    <t>T0344</t>
  </si>
  <si>
    <t>T0345</t>
  </si>
  <si>
    <t>T0346</t>
  </si>
  <si>
    <t>T0347</t>
  </si>
  <si>
    <t>T0348</t>
  </si>
  <si>
    <t>T0349</t>
  </si>
  <si>
    <t>T0350</t>
  </si>
  <si>
    <t>T0351</t>
  </si>
  <si>
    <t>T0352</t>
  </si>
  <si>
    <t>T0353</t>
  </si>
  <si>
    <t>T0354</t>
  </si>
  <si>
    <t>T0355</t>
  </si>
  <si>
    <t>T0356</t>
  </si>
  <si>
    <t>T0357</t>
  </si>
  <si>
    <t>T0358</t>
  </si>
  <si>
    <t>T0359</t>
  </si>
  <si>
    <t>T0360</t>
  </si>
  <si>
    <t>T0361</t>
  </si>
  <si>
    <t>T0362</t>
  </si>
  <si>
    <t>T0363</t>
  </si>
  <si>
    <t>T0364</t>
  </si>
  <si>
    <t>T0365</t>
  </si>
  <si>
    <t>T0366</t>
  </si>
  <si>
    <t>T0367</t>
  </si>
  <si>
    <t>T0368</t>
  </si>
  <si>
    <t>T0369</t>
  </si>
  <si>
    <t>T0370</t>
  </si>
  <si>
    <t>T0371</t>
  </si>
  <si>
    <t>T0372</t>
  </si>
  <si>
    <t>T0373</t>
  </si>
  <si>
    <t>T0374</t>
  </si>
  <si>
    <t>T0375</t>
  </si>
  <si>
    <t>T0376</t>
  </si>
  <si>
    <t>T0377</t>
  </si>
  <si>
    <t>T0378</t>
  </si>
  <si>
    <t>T0379</t>
  </si>
  <si>
    <t>T0380</t>
  </si>
  <si>
    <t>T0381</t>
  </si>
  <si>
    <t>T0382</t>
  </si>
  <si>
    <t>T0383</t>
  </si>
  <si>
    <t>T0384</t>
  </si>
  <si>
    <t>T0385</t>
  </si>
  <si>
    <t>T0386</t>
  </si>
  <si>
    <t>T0387</t>
  </si>
  <si>
    <t>T0388</t>
  </si>
  <si>
    <t>T0389</t>
  </si>
  <si>
    <t>T0390</t>
  </si>
  <si>
    <t>T0391</t>
  </si>
  <si>
    <t>T0392</t>
  </si>
  <si>
    <t>T0393</t>
  </si>
  <si>
    <t>T0394</t>
  </si>
  <si>
    <t>T0395</t>
  </si>
  <si>
    <t>T0396</t>
  </si>
  <si>
    <t>T0397</t>
  </si>
  <si>
    <t>T0398</t>
  </si>
  <si>
    <t>T0399</t>
  </si>
  <si>
    <t>T0400</t>
  </si>
  <si>
    <t>T0401</t>
  </si>
  <si>
    <t>T0402</t>
  </si>
  <si>
    <t>T0403</t>
  </si>
  <si>
    <t>T0404</t>
  </si>
  <si>
    <t>T0405</t>
  </si>
  <si>
    <t>T0406</t>
  </si>
  <si>
    <t>T0407</t>
  </si>
  <si>
    <t>T0408</t>
  </si>
  <si>
    <t>T0409</t>
  </si>
  <si>
    <t>T0410</t>
  </si>
  <si>
    <t>T0411</t>
  </si>
  <si>
    <t>T0412</t>
  </si>
  <si>
    <t>T0413</t>
  </si>
  <si>
    <t>T0414</t>
  </si>
  <si>
    <t>T0415</t>
  </si>
  <si>
    <t>T0416</t>
  </si>
  <si>
    <t>T0417</t>
  </si>
  <si>
    <t>T0418</t>
  </si>
  <si>
    <t>T0419</t>
  </si>
  <si>
    <t>T0420</t>
  </si>
  <si>
    <t>T0421</t>
  </si>
  <si>
    <t>T0422</t>
  </si>
  <si>
    <t>T0423</t>
  </si>
  <si>
    <t>T0424</t>
  </si>
  <si>
    <t>T0425</t>
  </si>
  <si>
    <t>T0426</t>
  </si>
  <si>
    <t>T0427</t>
  </si>
  <si>
    <t>T0428</t>
  </si>
  <si>
    <t>T0429</t>
  </si>
  <si>
    <t>T0430</t>
  </si>
  <si>
    <t>T0431</t>
  </si>
  <si>
    <t>T0432</t>
  </si>
  <si>
    <t>T0433</t>
  </si>
  <si>
    <t>T0434</t>
  </si>
  <si>
    <t>T0435</t>
  </si>
  <si>
    <t>T0436</t>
  </si>
  <si>
    <t>T0437</t>
  </si>
  <si>
    <t>T0438</t>
  </si>
  <si>
    <t>T0439</t>
  </si>
  <si>
    <t>T0440</t>
  </si>
  <si>
    <t>T0441</t>
  </si>
  <si>
    <t>T0442</t>
  </si>
  <si>
    <t>T0443</t>
  </si>
  <si>
    <t>T0444</t>
  </si>
  <si>
    <t>T0445</t>
  </si>
  <si>
    <t>T0446</t>
  </si>
  <si>
    <t>T0447</t>
  </si>
  <si>
    <t>T0448</t>
  </si>
  <si>
    <t>T0449</t>
  </si>
  <si>
    <t>T0450</t>
  </si>
  <si>
    <t>T0451</t>
  </si>
  <si>
    <t>T0452</t>
  </si>
  <si>
    <t>T0453</t>
  </si>
  <si>
    <t>T0454</t>
  </si>
  <si>
    <t>T0455</t>
  </si>
  <si>
    <t>T0456</t>
  </si>
  <si>
    <t>T0457</t>
  </si>
  <si>
    <t>T0458</t>
  </si>
  <si>
    <t>T0459</t>
  </si>
  <si>
    <t>T0460</t>
  </si>
  <si>
    <t>T0461</t>
  </si>
  <si>
    <t>T0462</t>
  </si>
  <si>
    <t>T0463</t>
  </si>
  <si>
    <t>T0464</t>
  </si>
  <si>
    <t>T0465</t>
  </si>
  <si>
    <t>T0466</t>
  </si>
  <si>
    <t>T0467</t>
  </si>
  <si>
    <t>T0468</t>
  </si>
  <si>
    <t>T0469</t>
  </si>
  <si>
    <t>T0470</t>
  </si>
  <si>
    <t>T0471</t>
  </si>
  <si>
    <t>T0472</t>
  </si>
  <si>
    <t>T0473</t>
  </si>
  <si>
    <t>T0474</t>
  </si>
  <si>
    <t>T0475</t>
  </si>
  <si>
    <t>T0476</t>
  </si>
  <si>
    <t>T0477</t>
  </si>
  <si>
    <t>T0478</t>
  </si>
  <si>
    <t>T0479</t>
  </si>
  <si>
    <t>T0480</t>
  </si>
  <si>
    <t>T0481</t>
  </si>
  <si>
    <t>T0482</t>
  </si>
  <si>
    <t>T0483</t>
  </si>
  <si>
    <t>T0484</t>
  </si>
  <si>
    <t>T0485</t>
  </si>
  <si>
    <t>T0486</t>
  </si>
  <si>
    <t>T0487</t>
  </si>
  <si>
    <t>T0488</t>
  </si>
  <si>
    <t>T0489</t>
  </si>
  <si>
    <t>T0490</t>
  </si>
  <si>
    <t>T0491</t>
  </si>
  <si>
    <t>T0492</t>
  </si>
  <si>
    <t>T0493</t>
  </si>
  <si>
    <t>T0494</t>
  </si>
  <si>
    <t>T0495</t>
  </si>
  <si>
    <t>T0496</t>
  </si>
  <si>
    <t>T0497</t>
  </si>
  <si>
    <t>T0498</t>
  </si>
  <si>
    <t>T0499</t>
  </si>
  <si>
    <t>T0500</t>
  </si>
  <si>
    <t>T0501</t>
  </si>
  <si>
    <t>T0502</t>
  </si>
  <si>
    <t>T0503</t>
  </si>
  <si>
    <t>T0504</t>
  </si>
  <si>
    <t>T0505</t>
  </si>
  <si>
    <t>T0506</t>
  </si>
  <si>
    <t>T0507</t>
  </si>
  <si>
    <t>T0508</t>
  </si>
  <si>
    <t>T0509</t>
  </si>
  <si>
    <t>T0510</t>
  </si>
  <si>
    <t>T0511</t>
  </si>
  <si>
    <t>T0512</t>
  </si>
  <si>
    <t>T0513</t>
  </si>
  <si>
    <t>T0514</t>
  </si>
  <si>
    <t>T0515</t>
  </si>
  <si>
    <t>T0516</t>
  </si>
  <si>
    <t>T0517</t>
  </si>
  <si>
    <t>T0518</t>
  </si>
  <si>
    <t>T0519</t>
  </si>
  <si>
    <t>T0520</t>
  </si>
  <si>
    <t>T0521</t>
  </si>
  <si>
    <t>T0522</t>
  </si>
  <si>
    <t>T0523</t>
  </si>
  <si>
    <t>T0524</t>
  </si>
  <si>
    <t>T0525</t>
  </si>
  <si>
    <t>T0526</t>
  </si>
  <si>
    <t>T0527</t>
  </si>
  <si>
    <t>T0528</t>
  </si>
  <si>
    <t>T0529</t>
  </si>
  <si>
    <t>T0530</t>
  </si>
  <si>
    <t>T0531</t>
  </si>
  <si>
    <t>T0532</t>
  </si>
  <si>
    <t>T0533</t>
  </si>
  <si>
    <t>T0534</t>
  </si>
  <si>
    <t>T0535</t>
  </si>
  <si>
    <t>T0536</t>
  </si>
  <si>
    <t>T0537</t>
  </si>
  <si>
    <t>T0538</t>
  </si>
  <si>
    <t>T0539</t>
  </si>
  <si>
    <t>T0540</t>
  </si>
  <si>
    <t>T0541</t>
  </si>
  <si>
    <t>T0542</t>
  </si>
  <si>
    <t>T0543</t>
  </si>
  <si>
    <t>T0544</t>
  </si>
  <si>
    <t>T0545</t>
  </si>
  <si>
    <t>T0546</t>
  </si>
  <si>
    <t>T0547</t>
  </si>
  <si>
    <t>T0548</t>
  </si>
  <si>
    <t>T0549</t>
  </si>
  <si>
    <t>T0550</t>
  </si>
  <si>
    <t>T0551</t>
  </si>
  <si>
    <t>T0552</t>
  </si>
  <si>
    <t>T0553</t>
  </si>
  <si>
    <t>T0554</t>
  </si>
  <si>
    <t>T0555</t>
  </si>
  <si>
    <t>T0556</t>
  </si>
  <si>
    <t>T0557</t>
  </si>
  <si>
    <t>T0558</t>
  </si>
  <si>
    <t>T0559</t>
  </si>
  <si>
    <t>T0560</t>
  </si>
  <si>
    <t>T0561</t>
  </si>
  <si>
    <t>T0562</t>
  </si>
  <si>
    <t>T0563</t>
  </si>
  <si>
    <t>T0564</t>
  </si>
  <si>
    <t>T0565</t>
  </si>
  <si>
    <t>T0566</t>
  </si>
  <si>
    <t>T0567</t>
  </si>
  <si>
    <t>T0568</t>
  </si>
  <si>
    <t>T0569</t>
  </si>
  <si>
    <t>T0570</t>
  </si>
  <si>
    <t>T0571</t>
  </si>
  <si>
    <t>T0572</t>
  </si>
  <si>
    <t>T0573</t>
  </si>
  <si>
    <t>T0574</t>
  </si>
  <si>
    <t>T0575</t>
  </si>
  <si>
    <t>T0576</t>
  </si>
  <si>
    <t>T0577</t>
  </si>
  <si>
    <t>T0578</t>
  </si>
  <si>
    <t>T0579</t>
  </si>
  <si>
    <t>T0580</t>
  </si>
  <si>
    <t>T0581</t>
  </si>
  <si>
    <t>T0582</t>
  </si>
  <si>
    <t>T0583</t>
  </si>
  <si>
    <t>T0584</t>
  </si>
  <si>
    <t>T0585</t>
  </si>
  <si>
    <t>T0586</t>
  </si>
  <si>
    <t>T0587</t>
  </si>
  <si>
    <t>T0588</t>
  </si>
  <si>
    <t>T0589</t>
  </si>
  <si>
    <t>T0590</t>
  </si>
  <si>
    <t>T0591</t>
  </si>
  <si>
    <t>T0592</t>
  </si>
  <si>
    <t>T0593</t>
  </si>
  <si>
    <t>T0594</t>
  </si>
  <si>
    <t>T0595</t>
  </si>
  <si>
    <t>T0596</t>
  </si>
  <si>
    <t>T0597</t>
  </si>
  <si>
    <t>T0598</t>
  </si>
  <si>
    <t>T0599</t>
  </si>
  <si>
    <t>T0600</t>
  </si>
  <si>
    <t>T0601</t>
  </si>
  <si>
    <t>T0602</t>
  </si>
  <si>
    <t>T0603</t>
  </si>
  <si>
    <t>T0604</t>
  </si>
  <si>
    <t>T0605</t>
  </si>
  <si>
    <t>T0606</t>
  </si>
  <si>
    <t>T0607</t>
  </si>
  <si>
    <t>T0608</t>
  </si>
  <si>
    <t>T0609</t>
  </si>
  <si>
    <t>T0610</t>
  </si>
  <si>
    <t>T0611</t>
  </si>
  <si>
    <t>T0612</t>
  </si>
  <si>
    <t>T0613</t>
  </si>
  <si>
    <t>T0614</t>
  </si>
  <si>
    <t>T0615</t>
  </si>
  <si>
    <t>T0616</t>
  </si>
  <si>
    <t>T0617</t>
  </si>
  <si>
    <t>T0618</t>
  </si>
  <si>
    <t>T0619</t>
  </si>
  <si>
    <t>T0620</t>
  </si>
  <si>
    <t>T0621</t>
  </si>
  <si>
    <t>T0622</t>
  </si>
  <si>
    <t>T0623</t>
  </si>
  <si>
    <t>T0624</t>
  </si>
  <si>
    <t>T0625</t>
  </si>
  <si>
    <t>T0626</t>
  </si>
  <si>
    <t>T0627</t>
  </si>
  <si>
    <t>T0628</t>
  </si>
  <si>
    <t>T0629</t>
  </si>
  <si>
    <t>T0630</t>
  </si>
  <si>
    <t>T0631</t>
  </si>
  <si>
    <t>T0632</t>
  </si>
  <si>
    <t>T0633</t>
  </si>
  <si>
    <t>T0634</t>
  </si>
  <si>
    <t>T0635</t>
  </si>
  <si>
    <t>T0636</t>
  </si>
  <si>
    <t>T0637</t>
  </si>
  <si>
    <t>T0638</t>
  </si>
  <si>
    <t>T0639</t>
  </si>
  <si>
    <t>T0640</t>
  </si>
  <si>
    <t>T0641</t>
  </si>
  <si>
    <t>T0642</t>
  </si>
  <si>
    <t>T0643</t>
  </si>
  <si>
    <t>T0644</t>
  </si>
  <si>
    <t>T0645</t>
  </si>
  <si>
    <t>T0646</t>
  </si>
  <si>
    <t>T0647</t>
  </si>
  <si>
    <t>T0648</t>
  </si>
  <si>
    <t>T0649</t>
  </si>
  <si>
    <t>T0650</t>
  </si>
  <si>
    <t>T0651</t>
  </si>
  <si>
    <t>T0652</t>
  </si>
  <si>
    <t>T0653</t>
  </si>
  <si>
    <t>T0654</t>
  </si>
  <si>
    <t>T0655</t>
  </si>
  <si>
    <t>T0656</t>
  </si>
  <si>
    <t>T0657</t>
  </si>
  <si>
    <t>T0658</t>
  </si>
  <si>
    <t>T0659</t>
  </si>
  <si>
    <t>T0660</t>
  </si>
  <si>
    <t>T0661</t>
  </si>
  <si>
    <t>T0662</t>
  </si>
  <si>
    <t>T0663</t>
  </si>
  <si>
    <t>T0664</t>
  </si>
  <si>
    <t>T0665</t>
  </si>
  <si>
    <t>T0666</t>
  </si>
  <si>
    <t>T0667</t>
  </si>
  <si>
    <t>T0668</t>
  </si>
  <si>
    <t>T0669</t>
  </si>
  <si>
    <t>T0670</t>
  </si>
  <si>
    <t>T0671</t>
  </si>
  <si>
    <t>T0672</t>
  </si>
  <si>
    <t>T0673</t>
  </si>
  <si>
    <t>T0674</t>
  </si>
  <si>
    <t>T0675</t>
  </si>
  <si>
    <t>T0676</t>
  </si>
  <si>
    <t>T0677</t>
  </si>
  <si>
    <t>T0678</t>
  </si>
  <si>
    <t>T0679</t>
  </si>
  <si>
    <t>T0680</t>
  </si>
  <si>
    <t>T0681</t>
  </si>
  <si>
    <t>T0682</t>
  </si>
  <si>
    <t>T0683</t>
  </si>
  <si>
    <t>T0684</t>
  </si>
  <si>
    <t>T0685</t>
  </si>
  <si>
    <t>T0686</t>
  </si>
  <si>
    <t>T0687</t>
  </si>
  <si>
    <t>T0688</t>
  </si>
  <si>
    <t>T0689</t>
  </si>
  <si>
    <t>T0690</t>
  </si>
  <si>
    <t>T0691</t>
  </si>
  <si>
    <t>T0692</t>
  </si>
  <si>
    <t>T0693</t>
  </si>
  <si>
    <t>T0694</t>
  </si>
  <si>
    <t>T0695</t>
  </si>
  <si>
    <t>T0696</t>
  </si>
  <si>
    <t>T0697</t>
  </si>
  <si>
    <t>T0698</t>
  </si>
  <si>
    <t>T0699</t>
  </si>
  <si>
    <t>T0700</t>
  </si>
  <si>
    <t>T0701</t>
  </si>
  <si>
    <t>T0702</t>
  </si>
  <si>
    <t>T0703</t>
  </si>
  <si>
    <t>T0704</t>
  </si>
  <si>
    <t>T0705</t>
  </si>
  <si>
    <t>T0706</t>
  </si>
  <si>
    <t>T0707</t>
  </si>
  <si>
    <t>T0708</t>
  </si>
  <si>
    <t>T0709</t>
  </si>
  <si>
    <t>T0710</t>
  </si>
  <si>
    <t>T0711</t>
  </si>
  <si>
    <t>T0712</t>
  </si>
  <si>
    <t>T0713</t>
  </si>
  <si>
    <t>T0714</t>
  </si>
  <si>
    <t>T0715</t>
  </si>
  <si>
    <t>T0716</t>
  </si>
  <si>
    <t>T0717</t>
  </si>
  <si>
    <t>T0718</t>
  </si>
  <si>
    <t>T0719</t>
  </si>
  <si>
    <t>T0720</t>
  </si>
  <si>
    <t>T0721</t>
  </si>
  <si>
    <t>T0722</t>
  </si>
  <si>
    <t>T0723</t>
  </si>
  <si>
    <t>T0724</t>
  </si>
  <si>
    <t>T0725</t>
  </si>
  <si>
    <t>T0726</t>
  </si>
  <si>
    <t>T0727</t>
  </si>
  <si>
    <t>T0728</t>
  </si>
  <si>
    <t>T0729</t>
  </si>
  <si>
    <t>T0730</t>
  </si>
  <si>
    <t>T0731</t>
  </si>
  <si>
    <t>T0732</t>
  </si>
  <si>
    <t>T0733</t>
  </si>
  <si>
    <t>T0734</t>
  </si>
  <si>
    <t>T0735</t>
  </si>
  <si>
    <t>T0736</t>
  </si>
  <si>
    <t>T0737</t>
  </si>
  <si>
    <t>T0738</t>
  </si>
  <si>
    <t>T0739</t>
  </si>
  <si>
    <t>T0740</t>
  </si>
  <si>
    <t>T0741</t>
  </si>
  <si>
    <t>T0742</t>
  </si>
  <si>
    <t>T0743</t>
  </si>
  <si>
    <t>T0744</t>
  </si>
  <si>
    <t>T0745</t>
  </si>
  <si>
    <t>T0746</t>
  </si>
  <si>
    <t>T0747</t>
  </si>
  <si>
    <t>T0748</t>
  </si>
  <si>
    <t>T0749</t>
  </si>
  <si>
    <t>T0750</t>
  </si>
  <si>
    <t>T0751</t>
  </si>
  <si>
    <t>T0752</t>
  </si>
  <si>
    <t>T0753</t>
  </si>
  <si>
    <t>T0754</t>
  </si>
  <si>
    <t>T0755</t>
  </si>
  <si>
    <t>T0756</t>
  </si>
  <si>
    <t>T0757</t>
  </si>
  <si>
    <t>T0758</t>
  </si>
  <si>
    <t>T0759</t>
  </si>
  <si>
    <t>T0760</t>
  </si>
  <si>
    <t>T0761</t>
  </si>
  <si>
    <t>T0762</t>
  </si>
  <si>
    <t>T0763</t>
  </si>
  <si>
    <t>T0764</t>
  </si>
  <si>
    <t>T0765</t>
  </si>
  <si>
    <t>T0766</t>
  </si>
  <si>
    <t>T0767</t>
  </si>
  <si>
    <t>T0768</t>
  </si>
  <si>
    <t>T0769</t>
  </si>
  <si>
    <t>T0770</t>
  </si>
  <si>
    <t>T0771</t>
  </si>
  <si>
    <t>T0772</t>
  </si>
  <si>
    <t>T0773</t>
  </si>
  <si>
    <t>T0774</t>
  </si>
  <si>
    <t>T0775</t>
  </si>
  <si>
    <t>T0776</t>
  </si>
  <si>
    <t>T0777</t>
  </si>
  <si>
    <t>T0778</t>
  </si>
  <si>
    <t>T0779</t>
  </si>
  <si>
    <t>T0780</t>
  </si>
  <si>
    <t>T0781</t>
  </si>
  <si>
    <t>T0782</t>
  </si>
  <si>
    <t>T0783</t>
  </si>
  <si>
    <t>T0784</t>
  </si>
  <si>
    <t>T0785</t>
  </si>
  <si>
    <t>T0786</t>
  </si>
  <si>
    <t>T0787</t>
  </si>
  <si>
    <t>T0788</t>
  </si>
  <si>
    <t>T0789</t>
  </si>
  <si>
    <t>T0790</t>
  </si>
  <si>
    <t>T0791</t>
  </si>
  <si>
    <t>T0792</t>
  </si>
  <si>
    <t>T0793</t>
  </si>
  <si>
    <t>T0794</t>
  </si>
  <si>
    <t>T0795</t>
  </si>
  <si>
    <t>T0796</t>
  </si>
  <si>
    <t>T0797</t>
  </si>
  <si>
    <t>T0798</t>
  </si>
  <si>
    <t>T0799</t>
  </si>
  <si>
    <t>T0800</t>
  </si>
  <si>
    <t>T0801</t>
  </si>
  <si>
    <t>T0802</t>
  </si>
  <si>
    <t>T0803</t>
  </si>
  <si>
    <t>T0804</t>
  </si>
  <si>
    <t>T0805</t>
  </si>
  <si>
    <t>T0806</t>
  </si>
  <si>
    <t>T0807</t>
  </si>
  <si>
    <t>T0808</t>
  </si>
  <si>
    <t>T0809</t>
  </si>
  <si>
    <t>T0810</t>
  </si>
  <si>
    <t>T0811</t>
  </si>
  <si>
    <t>T0812</t>
  </si>
  <si>
    <t>T0813</t>
  </si>
  <si>
    <t>T0814</t>
  </si>
  <si>
    <t>T0815</t>
  </si>
  <si>
    <t>T0816</t>
  </si>
  <si>
    <t>T0817</t>
  </si>
  <si>
    <t>T0818</t>
  </si>
  <si>
    <t>T0819</t>
  </si>
  <si>
    <t>T0820</t>
  </si>
  <si>
    <t>T0821</t>
  </si>
  <si>
    <t>T0822</t>
  </si>
  <si>
    <t>T0823</t>
  </si>
  <si>
    <t>T0824</t>
  </si>
  <si>
    <t>T0825</t>
  </si>
  <si>
    <t>T0826</t>
  </si>
  <si>
    <t>T0827</t>
  </si>
  <si>
    <t>T0828</t>
  </si>
  <si>
    <t>T0829</t>
  </si>
  <si>
    <t>T0830</t>
  </si>
  <si>
    <t>T0831</t>
  </si>
  <si>
    <t>T0832</t>
  </si>
  <si>
    <t>T0833</t>
  </si>
  <si>
    <t>T0834</t>
  </si>
  <si>
    <t>T0835</t>
  </si>
  <si>
    <t>T0836</t>
  </si>
  <si>
    <t>T0837</t>
  </si>
  <si>
    <t>T0838</t>
  </si>
  <si>
    <t>T0839</t>
  </si>
  <si>
    <t>T0840</t>
  </si>
  <si>
    <t>T0841</t>
  </si>
  <si>
    <t>T0842</t>
  </si>
  <si>
    <t>T0843</t>
  </si>
  <si>
    <t>T0844</t>
  </si>
  <si>
    <t>T0845</t>
  </si>
  <si>
    <t>T0846</t>
  </si>
  <si>
    <t>T0847</t>
  </si>
  <si>
    <t>T0848</t>
  </si>
  <si>
    <t>T0849</t>
  </si>
  <si>
    <t>T0850</t>
  </si>
  <si>
    <t>T0851</t>
  </si>
  <si>
    <t>T0852</t>
  </si>
  <si>
    <t>T0853</t>
  </si>
  <si>
    <t>T0854</t>
  </si>
  <si>
    <t>T0855</t>
  </si>
  <si>
    <t>T0856</t>
  </si>
  <si>
    <t>T0857</t>
  </si>
  <si>
    <t>T0858</t>
  </si>
  <si>
    <t>T0859</t>
  </si>
  <si>
    <t>T0860</t>
  </si>
  <si>
    <t>T0861</t>
  </si>
  <si>
    <t>T0862</t>
  </si>
  <si>
    <t>T0863</t>
  </si>
  <si>
    <t>T0864</t>
  </si>
  <si>
    <t>T0865</t>
  </si>
  <si>
    <t>T0866</t>
  </si>
  <si>
    <t>T0867</t>
  </si>
  <si>
    <t>T0868</t>
  </si>
  <si>
    <t>T0869</t>
  </si>
  <si>
    <t>T0870</t>
  </si>
  <si>
    <t>T0871</t>
  </si>
  <si>
    <t>T0872</t>
  </si>
  <si>
    <t>T0873</t>
  </si>
  <si>
    <t>T0874</t>
  </si>
  <si>
    <t>T0875</t>
  </si>
  <si>
    <t>T0876</t>
  </si>
  <si>
    <t>T0877</t>
  </si>
  <si>
    <t>T0878</t>
  </si>
  <si>
    <t>T0879</t>
  </si>
  <si>
    <t>T0880</t>
  </si>
  <si>
    <t>T0881</t>
  </si>
  <si>
    <t>T0882</t>
  </si>
  <si>
    <t>T0883</t>
  </si>
  <si>
    <t>T0884</t>
  </si>
  <si>
    <t>T0885</t>
  </si>
  <si>
    <t>T0886</t>
  </si>
  <si>
    <t>T0887</t>
  </si>
  <si>
    <t>T0888</t>
  </si>
  <si>
    <t>T0889</t>
  </si>
  <si>
    <t>T0890</t>
  </si>
  <si>
    <t>T0891</t>
  </si>
  <si>
    <t>T0892</t>
  </si>
  <si>
    <t>T0893</t>
  </si>
  <si>
    <t>T0894</t>
  </si>
  <si>
    <t>T0895</t>
  </si>
  <si>
    <t>T0896</t>
  </si>
  <si>
    <t>T0897</t>
  </si>
  <si>
    <t>T0898</t>
  </si>
  <si>
    <t>T0899</t>
  </si>
  <si>
    <t>T0900</t>
  </si>
  <si>
    <t>T0901</t>
  </si>
  <si>
    <t>T0902</t>
  </si>
  <si>
    <t>T0903</t>
  </si>
  <si>
    <t>T0904</t>
  </si>
  <si>
    <t>T0905</t>
  </si>
  <si>
    <t>T0906</t>
  </si>
  <si>
    <t>T0907</t>
  </si>
  <si>
    <t>T0908</t>
  </si>
  <si>
    <t>T0909</t>
  </si>
  <si>
    <t>T0910</t>
  </si>
  <si>
    <t>T0911</t>
  </si>
  <si>
    <t>T0912</t>
  </si>
  <si>
    <t>T0913</t>
  </si>
  <si>
    <t>T0914</t>
  </si>
  <si>
    <t>T0915</t>
  </si>
  <si>
    <t>T0916</t>
  </si>
  <si>
    <t>T0917</t>
  </si>
  <si>
    <t>T0918</t>
  </si>
  <si>
    <t>T0919</t>
  </si>
  <si>
    <t>T0920</t>
  </si>
  <si>
    <t>T0921</t>
  </si>
  <si>
    <t>T0922</t>
  </si>
  <si>
    <t>T0923</t>
  </si>
  <si>
    <t>T0924</t>
  </si>
  <si>
    <t>T0925</t>
  </si>
  <si>
    <t>T0926</t>
  </si>
  <si>
    <t>T0927</t>
  </si>
  <si>
    <t>T0928</t>
  </si>
  <si>
    <t>T0929</t>
  </si>
  <si>
    <t>T0930</t>
  </si>
  <si>
    <t>T0931</t>
  </si>
  <si>
    <t>T0932</t>
  </si>
  <si>
    <t>T0933</t>
  </si>
  <si>
    <t>T0934</t>
  </si>
  <si>
    <t>T0935</t>
  </si>
  <si>
    <t>T0936</t>
  </si>
  <si>
    <t>T0937</t>
  </si>
  <si>
    <t>T0938</t>
  </si>
  <si>
    <t>T0939</t>
  </si>
  <si>
    <t>T0940</t>
  </si>
  <si>
    <t>T0941</t>
  </si>
  <si>
    <t>T0942</t>
  </si>
  <si>
    <t>T0943</t>
  </si>
  <si>
    <t>T0944</t>
  </si>
  <si>
    <t>T0945</t>
  </si>
  <si>
    <t>T0946</t>
  </si>
  <si>
    <t>T0947</t>
  </si>
  <si>
    <t>T0948</t>
  </si>
  <si>
    <t>T0949</t>
  </si>
  <si>
    <t>T0950</t>
  </si>
  <si>
    <t>T0951</t>
  </si>
  <si>
    <t>T0952</t>
  </si>
  <si>
    <t>T0953</t>
  </si>
  <si>
    <t>T0954</t>
  </si>
  <si>
    <t>T0955</t>
  </si>
  <si>
    <t>T0956</t>
  </si>
  <si>
    <t>T0957</t>
  </si>
  <si>
    <t>T0958</t>
  </si>
  <si>
    <t>T0959</t>
  </si>
  <si>
    <t>T0960</t>
  </si>
  <si>
    <t>T0961</t>
  </si>
  <si>
    <t>T0962</t>
  </si>
  <si>
    <t>T0963</t>
  </si>
  <si>
    <t>T0964</t>
  </si>
  <si>
    <t>T0965</t>
  </si>
  <si>
    <t>T0966</t>
  </si>
  <si>
    <t>T0967</t>
  </si>
  <si>
    <t>T0968</t>
  </si>
  <si>
    <t>T0969</t>
  </si>
  <si>
    <t>T0970</t>
  </si>
  <si>
    <t>T0971</t>
  </si>
  <si>
    <t>T0972</t>
  </si>
  <si>
    <t>T0973</t>
  </si>
  <si>
    <t>T0974</t>
  </si>
  <si>
    <t>T0975</t>
  </si>
  <si>
    <t>T0976</t>
  </si>
  <si>
    <t>T0977</t>
  </si>
  <si>
    <t>T0978</t>
  </si>
  <si>
    <t>T0979</t>
  </si>
  <si>
    <t>T0980</t>
  </si>
  <si>
    <t>T0981</t>
  </si>
  <si>
    <t>T0982</t>
  </si>
  <si>
    <t>T0983</t>
  </si>
  <si>
    <t>T0984</t>
  </si>
  <si>
    <t>T0985</t>
  </si>
  <si>
    <t>T0986</t>
  </si>
  <si>
    <t>T0987</t>
  </si>
  <si>
    <t>T0988</t>
  </si>
  <si>
    <t>T0989</t>
  </si>
  <si>
    <t>T0990</t>
  </si>
  <si>
    <t>Lead_Time</t>
  </si>
  <si>
    <t>Safety_Stock</t>
  </si>
  <si>
    <t>Reorder_Point</t>
  </si>
  <si>
    <t>EOQ</t>
  </si>
  <si>
    <t>Action</t>
  </si>
  <si>
    <t>Holding_Cost_per_Unit(Monthly)</t>
  </si>
  <si>
    <t>T0991</t>
  </si>
  <si>
    <t>T0992</t>
  </si>
  <si>
    <t>T0993</t>
  </si>
  <si>
    <t>T0994</t>
  </si>
  <si>
    <t>T0995</t>
  </si>
  <si>
    <t>T0996</t>
  </si>
  <si>
    <t>T0997</t>
  </si>
  <si>
    <t>T0998</t>
  </si>
  <si>
    <t>T0999</t>
  </si>
  <si>
    <t>T1000</t>
  </si>
  <si>
    <t>T1001</t>
  </si>
  <si>
    <t>T1002</t>
  </si>
  <si>
    <t>T1003</t>
  </si>
  <si>
    <t>T1004</t>
  </si>
  <si>
    <t>T1005</t>
  </si>
  <si>
    <t>T1006</t>
  </si>
  <si>
    <t>T1007</t>
  </si>
  <si>
    <t>T1008</t>
  </si>
  <si>
    <t>T1009</t>
  </si>
  <si>
    <t>T1010</t>
  </si>
  <si>
    <t>T1011</t>
  </si>
  <si>
    <t>T1012</t>
  </si>
  <si>
    <t>T1013</t>
  </si>
  <si>
    <t>T1014</t>
  </si>
  <si>
    <t>T1015</t>
  </si>
  <si>
    <t>T1016</t>
  </si>
  <si>
    <t>T1017</t>
  </si>
  <si>
    <t>T1018</t>
  </si>
  <si>
    <t>T1019</t>
  </si>
  <si>
    <t>T1020</t>
  </si>
  <si>
    <t>T1021</t>
  </si>
  <si>
    <t>T1022</t>
  </si>
  <si>
    <t>T1023</t>
  </si>
  <si>
    <t>T1024</t>
  </si>
  <si>
    <t>T1025</t>
  </si>
  <si>
    <t>T1026</t>
  </si>
  <si>
    <t>T1027</t>
  </si>
  <si>
    <t>T1028</t>
  </si>
  <si>
    <t>T1029</t>
  </si>
  <si>
    <t>T1030</t>
  </si>
  <si>
    <t>T1031</t>
  </si>
  <si>
    <t>T1032</t>
  </si>
  <si>
    <t>T1033</t>
  </si>
  <si>
    <t>T1034</t>
  </si>
  <si>
    <t>T1035</t>
  </si>
  <si>
    <t>T1036</t>
  </si>
  <si>
    <t>T1037</t>
  </si>
  <si>
    <t>T1038</t>
  </si>
  <si>
    <t>T1039</t>
  </si>
  <si>
    <t>T1040</t>
  </si>
  <si>
    <t>T1041</t>
  </si>
  <si>
    <t>T1042</t>
  </si>
  <si>
    <t>T1043</t>
  </si>
  <si>
    <t>T1044</t>
  </si>
  <si>
    <t>T1045</t>
  </si>
  <si>
    <t>T1046</t>
  </si>
  <si>
    <t>T1047</t>
  </si>
  <si>
    <t>T1048</t>
  </si>
  <si>
    <t>T1049</t>
  </si>
  <si>
    <t>T1050</t>
  </si>
  <si>
    <t>T1051</t>
  </si>
  <si>
    <t>T1052</t>
  </si>
  <si>
    <t>T1053</t>
  </si>
  <si>
    <t>T1054</t>
  </si>
  <si>
    <t>T1055</t>
  </si>
  <si>
    <t>T1056</t>
  </si>
  <si>
    <t>T1057</t>
  </si>
  <si>
    <t>T1058</t>
  </si>
  <si>
    <t>T1059</t>
  </si>
  <si>
    <t>T1060</t>
  </si>
  <si>
    <t>T1061</t>
  </si>
  <si>
    <t>T1062</t>
  </si>
  <si>
    <t>T1063</t>
  </si>
  <si>
    <t>T1064</t>
  </si>
  <si>
    <t>T1065</t>
  </si>
  <si>
    <t>T1066</t>
  </si>
  <si>
    <t>T1067</t>
  </si>
  <si>
    <t>T1068</t>
  </si>
  <si>
    <t>T1069</t>
  </si>
  <si>
    <t>T1070</t>
  </si>
  <si>
    <t>T1071</t>
  </si>
  <si>
    <t>T1072</t>
  </si>
  <si>
    <t>T1073</t>
  </si>
  <si>
    <t>T1074</t>
  </si>
  <si>
    <t>T1075</t>
  </si>
  <si>
    <t>T1076</t>
  </si>
  <si>
    <t>T1077</t>
  </si>
  <si>
    <t>T1078</t>
  </si>
  <si>
    <t>T1079</t>
  </si>
  <si>
    <t>T1080</t>
  </si>
  <si>
    <t>T1081</t>
  </si>
  <si>
    <t>T1082</t>
  </si>
  <si>
    <t>T1083</t>
  </si>
  <si>
    <t>T1084</t>
  </si>
  <si>
    <t>T1085</t>
  </si>
  <si>
    <t>T1086</t>
  </si>
  <si>
    <t>T1087</t>
  </si>
  <si>
    <t>T1088</t>
  </si>
  <si>
    <t>T1089</t>
  </si>
  <si>
    <t>T1090</t>
  </si>
  <si>
    <t>T1091</t>
  </si>
  <si>
    <t>T1092</t>
  </si>
  <si>
    <t>T1093</t>
  </si>
  <si>
    <t>T1094</t>
  </si>
  <si>
    <t>T1095</t>
  </si>
  <si>
    <t>T1096</t>
  </si>
  <si>
    <t>T1097</t>
  </si>
  <si>
    <t>T1098</t>
  </si>
  <si>
    <t>T1099</t>
  </si>
  <si>
    <t>T1100</t>
  </si>
  <si>
    <t>T1101</t>
  </si>
  <si>
    <t>T1102</t>
  </si>
  <si>
    <t>T1103</t>
  </si>
  <si>
    <t>T1104</t>
  </si>
  <si>
    <t>T1105</t>
  </si>
  <si>
    <t>T1106</t>
  </si>
  <si>
    <t>T1107</t>
  </si>
  <si>
    <t>T1108</t>
  </si>
  <si>
    <t>T1109</t>
  </si>
  <si>
    <t>T1110</t>
  </si>
  <si>
    <t>T1111</t>
  </si>
  <si>
    <t xml:space="preserve"> Total_inventory_Value </t>
  </si>
  <si>
    <t>Total_Stockout</t>
  </si>
  <si>
    <t>Item_to_reorder</t>
  </si>
  <si>
    <t>Avg_Lead_Time (Days)</t>
  </si>
  <si>
    <t>#0060F6</t>
  </si>
  <si>
    <t>Row Labels</t>
  </si>
  <si>
    <t>Grand Total</t>
  </si>
  <si>
    <t>Sum of Inventory_Value</t>
  </si>
  <si>
    <t>Sum of Avg_Daily_Demand</t>
  </si>
  <si>
    <t>Total Products</t>
  </si>
  <si>
    <t>Products to Reorder</t>
  </si>
  <si>
    <t>Reorder_flag</t>
  </si>
  <si>
    <t>Cureeent stock</t>
  </si>
  <si>
    <t>Inventory Value</t>
  </si>
  <si>
    <t>Stockout Count</t>
  </si>
  <si>
    <t>Items to Reorder</t>
  </si>
  <si>
    <t>Average Lead Time (days)</t>
  </si>
  <si>
    <t>Sum of Reorder_flag</t>
  </si>
  <si>
    <t>Sum of Current_Stock</t>
  </si>
  <si>
    <t>Sum of Reorder_Point</t>
  </si>
  <si>
    <t>Inventory Status Distribution</t>
  </si>
  <si>
    <t>REORDER</t>
  </si>
  <si>
    <t>Count of Reorder_flag</t>
  </si>
  <si>
    <t>Top 10 Fast-Moving Products</t>
  </si>
  <si>
    <t>Stock vs Reorder Point</t>
  </si>
  <si>
    <t>Reorder Status</t>
  </si>
  <si>
    <t>SUFFICIENT_STOCK</t>
  </si>
  <si>
    <t>Inventory Value by Category</t>
  </si>
  <si>
    <t>Fruits</t>
  </si>
  <si>
    <t>Oils</t>
  </si>
  <si>
    <t>Grains</t>
  </si>
  <si>
    <t>X (Demand)</t>
  </si>
  <si>
    <t>Y (Cost)</t>
  </si>
  <si>
    <t xml:space="preserve">Inventory Status Distribution, Stock vs Reorder Point, Top 10 Fast-Moving Products, Inventory Value by Category, Inventory Value by Category, </t>
  </si>
  <si>
    <t>Sum of Unit_Cost</t>
  </si>
  <si>
    <t>X</t>
  </si>
  <si>
    <t>Y</t>
  </si>
  <si>
    <t>SUM ( tbl_Reorder_Optimization[Reorder_Point] )-SUM ( tbl_Reorder_Optimization[Current_Stock] )</t>
  </si>
  <si>
    <t>Inventory Gap measure</t>
  </si>
  <si>
    <t>1</t>
  </si>
  <si>
    <t>Bell Pepper</t>
  </si>
  <si>
    <t>Vegetable Oil</t>
  </si>
  <si>
    <t>Parmesan Cheese</t>
  </si>
  <si>
    <t>Coconut Sugar</t>
  </si>
  <si>
    <t>Cheddar Cheese</t>
  </si>
  <si>
    <t>Avocado Oil</t>
  </si>
  <si>
    <t>Digestive Biscuit</t>
  </si>
  <si>
    <t>Egg (Turkey)</t>
  </si>
  <si>
    <t>Ricotta Cheese</t>
  </si>
  <si>
    <t>Whole Wheat Flour</t>
  </si>
  <si>
    <t>Grapeseed Oil</t>
  </si>
  <si>
    <t>Almond Milk</t>
  </si>
  <si>
    <t>Pumpernickel Bread</t>
  </si>
  <si>
    <t>Green Tea</t>
  </si>
  <si>
    <t>Rye Bread</t>
  </si>
  <si>
    <t>Greek Yogurt</t>
  </si>
  <si>
    <t>Brown Rice</t>
  </si>
  <si>
    <t>Sourdough Bread</t>
  </si>
  <si>
    <t>White Bread</t>
  </si>
  <si>
    <t>Coffee Beans</t>
  </si>
  <si>
    <t>Sparkling Water</t>
  </si>
  <si>
    <t>Corn Oil</t>
  </si>
  <si>
    <t>Sunflower Oil</t>
  </si>
  <si>
    <t>Brie Cheese</t>
  </si>
  <si>
    <t>Mozzarella Cheese</t>
  </si>
  <si>
    <t>Blue Cheese</t>
  </si>
  <si>
    <t>Feta Cheese</t>
  </si>
  <si>
    <t>Swiss Cheese</t>
  </si>
  <si>
    <t>Soy Milk</t>
  </si>
  <si>
    <t>Oat Milk</t>
  </si>
  <si>
    <t>Sour Cream</t>
  </si>
  <si>
    <t>Cream Cheese</t>
  </si>
  <si>
    <t>Whipped Cream</t>
  </si>
  <si>
    <t>Evaporated Milk</t>
  </si>
  <si>
    <t>Condensed Milk</t>
  </si>
  <si>
    <t>Ice Cream</t>
  </si>
  <si>
    <t>Butter Milk</t>
  </si>
  <si>
    <t>Peanut Oil</t>
  </si>
  <si>
    <t>Sesame Oil</t>
  </si>
  <si>
    <t>Palm Oil</t>
  </si>
  <si>
    <t>Flaxseed Oil</t>
  </si>
  <si>
    <t>Olive Oil</t>
  </si>
  <si>
    <t>Maple Syrup</t>
  </si>
  <si>
    <t>Egg (Quail)</t>
  </si>
  <si>
    <t>Herbal Tea</t>
  </si>
  <si>
    <t>Coconut Oil</t>
  </si>
  <si>
    <t>Powdered Sugar</t>
  </si>
  <si>
    <t>Gouda Cheese</t>
  </si>
  <si>
    <t>Canola Oil</t>
  </si>
  <si>
    <t>Basmati Rice</t>
  </si>
  <si>
    <t>Oatmeal Biscuit</t>
  </si>
  <si>
    <t>Green Beans</t>
  </si>
  <si>
    <t>Cottage Cheese</t>
  </si>
  <si>
    <t>Multigrain Bread</t>
  </si>
  <si>
    <t>Sea Bass</t>
  </si>
  <si>
    <t>2 Havey Park</t>
  </si>
  <si>
    <t>939 Garrison Court</t>
  </si>
  <si>
    <t>21380 Stoughton Junction</t>
  </si>
  <si>
    <t>61 Towne Hill</t>
  </si>
  <si>
    <t>1 Fordem Place</t>
  </si>
  <si>
    <t>366 Vera Terrace</t>
  </si>
  <si>
    <t>44 Washington Street</t>
  </si>
  <si>
    <t>38 Browning Trail</t>
  </si>
  <si>
    <t>32526 Marquette Park</t>
  </si>
  <si>
    <t>3 Havey Park</t>
  </si>
  <si>
    <t>940 Garrison Court</t>
  </si>
  <si>
    <t>21381 Stoughton Junction</t>
  </si>
  <si>
    <t>62 Towne Hill</t>
  </si>
  <si>
    <t>2 Fordem Place</t>
  </si>
  <si>
    <t>367 Vera Terrace</t>
  </si>
  <si>
    <t>45 Washington Street</t>
  </si>
  <si>
    <t>39 Browning Trail</t>
  </si>
  <si>
    <t>32527 Marquette Park</t>
  </si>
  <si>
    <t>4 Havey Park</t>
  </si>
  <si>
    <t>941 Garrison Court</t>
  </si>
  <si>
    <t>21382 Stoughton Junction</t>
  </si>
  <si>
    <t>63 Towne Hill</t>
  </si>
  <si>
    <t>3 Fordem Place</t>
  </si>
  <si>
    <t>368 Vera Terrace</t>
  </si>
  <si>
    <t>46 Washington Street</t>
  </si>
  <si>
    <t>40 Browning Trail</t>
  </si>
  <si>
    <t>32528 Marquette Park</t>
  </si>
  <si>
    <t>5 Havey Park</t>
  </si>
  <si>
    <t>942 Garrison Court</t>
  </si>
  <si>
    <t>21383 Stoughton Junction</t>
  </si>
  <si>
    <t>64 Towne Hill</t>
  </si>
  <si>
    <t>4 Fordem Place</t>
  </si>
  <si>
    <t>369 Vera Terrace</t>
  </si>
  <si>
    <t>47 Washington Street</t>
  </si>
  <si>
    <t>41 Browning Trail</t>
  </si>
  <si>
    <t>32529 Marquette Park</t>
  </si>
  <si>
    <t>6 Havey Park</t>
  </si>
  <si>
    <t>943 Garrison Court</t>
  </si>
  <si>
    <t>21384 Stoughton Junction</t>
  </si>
  <si>
    <t>65 Towne Hill</t>
  </si>
  <si>
    <t>5 Fordem Place</t>
  </si>
  <si>
    <t>370 Vera Terrace</t>
  </si>
  <si>
    <t>48 Washington Street</t>
  </si>
  <si>
    <t>42 Browning Trail</t>
  </si>
  <si>
    <t>32530 Marquette Park</t>
  </si>
  <si>
    <t>7 Havey Park</t>
  </si>
  <si>
    <t>944 Garrison Court</t>
  </si>
  <si>
    <t>21385 Stoughton Junction</t>
  </si>
  <si>
    <t>66 Towne Hill</t>
  </si>
  <si>
    <t>6 Fordem Place</t>
  </si>
  <si>
    <t>371 Vera Terrace</t>
  </si>
  <si>
    <t>49 Washington Street</t>
  </si>
  <si>
    <t>43 Browning Trail</t>
  </si>
  <si>
    <t>32531 Marquette Park</t>
  </si>
  <si>
    <t>8 Havey Park</t>
  </si>
  <si>
    <t>945 Garrison Court</t>
  </si>
  <si>
    <t>21386 Stoughton Junction</t>
  </si>
  <si>
    <t>67 Towne Hill</t>
  </si>
  <si>
    <t>7 Fordem Place</t>
  </si>
  <si>
    <t>372 Vera Terrace</t>
  </si>
  <si>
    <t>50 Washington Street</t>
  </si>
  <si>
    <t>44 Browning Trail</t>
  </si>
  <si>
    <t>32532 Marquette Park</t>
  </si>
  <si>
    <t>9 Havey Park</t>
  </si>
  <si>
    <t>946 Garrison Court</t>
  </si>
  <si>
    <t>21387 Stoughton Junction</t>
  </si>
  <si>
    <t>68 Towne Hill</t>
  </si>
  <si>
    <t>8 Fordem Place</t>
  </si>
  <si>
    <t>373 Vera Terrace</t>
  </si>
  <si>
    <t>51 Washington Street</t>
  </si>
  <si>
    <t>45 Browning Trail</t>
  </si>
  <si>
    <t>32533 Marquette Park</t>
  </si>
  <si>
    <t>10 Havey Park</t>
  </si>
  <si>
    <t>947 Garrison Court</t>
  </si>
  <si>
    <t>21388 Stoughton Junction</t>
  </si>
  <si>
    <t>69 Towne Hill</t>
  </si>
  <si>
    <t>9 Fordem Place</t>
  </si>
  <si>
    <t>374 Vera Terrace</t>
  </si>
  <si>
    <t>52 Washington Street</t>
  </si>
  <si>
    <t>46 Browning Trail</t>
  </si>
  <si>
    <t>32534 Marquette Park</t>
  </si>
  <si>
    <t>11 Havey Park</t>
  </si>
  <si>
    <t>948 Garrison Court</t>
  </si>
  <si>
    <t>21389 Stoughton Junction</t>
  </si>
  <si>
    <t>70 Towne Hill</t>
  </si>
  <si>
    <t>10 Fordem Place</t>
  </si>
  <si>
    <t>375 Vera Terrace</t>
  </si>
  <si>
    <t>53 Washington Street</t>
  </si>
  <si>
    <t>47 Browning Trail</t>
  </si>
  <si>
    <t>32535 Marquette Park</t>
  </si>
  <si>
    <t>12 Havey Park</t>
  </si>
  <si>
    <t>949 Garrison Court</t>
  </si>
  <si>
    <t>21390 Stoughton Junction</t>
  </si>
  <si>
    <t>71 Towne Hill</t>
  </si>
  <si>
    <t>11 Fordem Place</t>
  </si>
  <si>
    <t>376 Vera Terrace</t>
  </si>
  <si>
    <t>54 Washington Street</t>
  </si>
  <si>
    <t>48 Browning Trail</t>
  </si>
  <si>
    <t>32536 Marquette Park</t>
  </si>
  <si>
    <t>13 Havey Park</t>
  </si>
  <si>
    <t>950 Garrison Court</t>
  </si>
  <si>
    <t>21391 Stoughton Junction</t>
  </si>
  <si>
    <t>72 Towne Hill</t>
  </si>
  <si>
    <t>12 Fordem Place</t>
  </si>
  <si>
    <t>377 Vera Terrace</t>
  </si>
  <si>
    <t>55 Washington Street</t>
  </si>
  <si>
    <t>49 Browning Trail</t>
  </si>
  <si>
    <t>32537 Marquette Park</t>
  </si>
  <si>
    <t>14 Havey Park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</si>
</sst>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164" formatCode="_-[$$-409]* #,##0.00_ ;_-[$$-409]* \-#,##0.00\ ;_-[$$-409]* &quot;-&quot;??_ ;_-@_ "/>
    <numFmt numFmtId="165" formatCode="\$\ 0,&quot;K&quot;"/>
  </numFmts>
  <fonts count="5" x14ac:knownFonts="1">
    <font>
      <sz val="11"/>
      <color theme="1"/>
      <name val="Aptos Narrow"/>
      <family val="2"/>
    </font>
    <font>
      <b/>
      <sz val="11"/>
      <color theme="0"/>
      <name val="Aptos Narrow"/>
      <family val="2"/>
    </font>
    <font>
      <b/>
      <sz val="11"/>
      <color theme="1"/>
      <name val="Aptos Narrow"/>
      <family val="2"/>
    </font>
    <font>
      <sz val="8"/>
      <name val="Aptos Narrow"/>
      <family val="2"/>
    </font>
    <font>
      <sz val="7.8"/>
      <color rgb="FF008000"/>
      <name val="Microsoft Sans Serif"/>
      <family val="2"/>
    </font>
  </fonts>
  <fills count="4">
    <fill>
      <patternFill patternType="none"/>
    </fill>
    <fill>
      <patternFill patternType="gray125"/>
    </fill>
    <fill>
      <patternFill patternType="solid">
        <fgColor theme="1"/>
        <bgColor indexed="64"/>
      </patternFill>
    </fill>
    <fill>
      <patternFill patternType="solid">
        <fgColor theme="2"/>
        <bgColor indexed="64"/>
      </patternFill>
    </fill>
  </fills>
  <borders count="15">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right/>
      <top style="thin">
        <color indexed="64"/>
      </top>
      <bottom/>
      <diagonal/>
    </border>
    <border>
      <left style="thin">
        <color indexed="64"/>
      </left>
      <right/>
      <top/>
      <bottom/>
      <diagonal/>
    </border>
    <border>
      <left/>
      <right style="thin">
        <color indexed="64"/>
      </right>
      <top/>
      <bottom/>
      <diagonal/>
    </border>
    <border>
      <left/>
      <right/>
      <top/>
      <bottom style="thin">
        <color indexed="64"/>
      </bottom>
      <diagonal/>
    </border>
    <border>
      <left style="thin">
        <color indexed="64"/>
      </left>
      <right style="thin">
        <color indexed="64"/>
      </right>
      <top/>
      <bottom/>
      <diagonal/>
    </border>
  </borders>
  <cellStyleXfs count="1">
    <xf numFmtId="0" fontId="0" fillId="0" borderId="0"/>
  </cellStyleXfs>
  <cellXfs count="63">
    <xf numFmtId="0" fontId="0" fillId="0" borderId="0" xfId="0"/>
    <xf numFmtId="0" fontId="0" fillId="0" borderId="1" xfId="0" applyBorder="1" applyAlignment="1">
      <alignment horizontal="center" vertical="center"/>
    </xf>
    <xf numFmtId="164" fontId="0" fillId="0" borderId="1" xfId="0" applyNumberFormat="1" applyBorder="1" applyAlignment="1">
      <alignment horizontal="center" vertical="center"/>
    </xf>
    <xf numFmtId="0" fontId="0" fillId="0" borderId="2" xfId="0" applyBorder="1" applyAlignment="1">
      <alignment horizontal="center" vertical="center"/>
    </xf>
    <xf numFmtId="0" fontId="0" fillId="0" borderId="7" xfId="0" applyBorder="1" applyAlignment="1">
      <alignment horizontal="center" vertical="center"/>
    </xf>
    <xf numFmtId="0" fontId="0" fillId="0" borderId="8" xfId="0" applyBorder="1" applyAlignment="1">
      <alignment horizontal="center" vertical="center"/>
    </xf>
    <xf numFmtId="164" fontId="0" fillId="0" borderId="8" xfId="0" applyNumberFormat="1" applyBorder="1" applyAlignment="1">
      <alignment horizontal="center" vertical="center"/>
    </xf>
    <xf numFmtId="0" fontId="0" fillId="0" borderId="1" xfId="0" applyBorder="1"/>
    <xf numFmtId="2" fontId="0" fillId="0" borderId="0" xfId="0" applyNumberFormat="1" applyAlignment="1">
      <alignment horizontal="center" vertical="center"/>
    </xf>
    <xf numFmtId="2" fontId="0" fillId="0" borderId="1" xfId="0" applyNumberFormat="1" applyBorder="1" applyAlignment="1">
      <alignment horizontal="center" vertical="center"/>
    </xf>
    <xf numFmtId="2" fontId="0" fillId="0" borderId="0" xfId="0" applyNumberFormat="1"/>
    <xf numFmtId="0" fontId="1" fillId="0" borderId="5" xfId="0" applyFont="1" applyBorder="1" applyAlignment="1">
      <alignment horizontal="center" vertical="center"/>
    </xf>
    <xf numFmtId="0" fontId="1" fillId="2" borderId="1" xfId="0" applyFont="1" applyFill="1" applyBorder="1" applyAlignment="1">
      <alignment horizontal="center" vertical="center"/>
    </xf>
    <xf numFmtId="14" fontId="0" fillId="0" borderId="1" xfId="0" applyNumberFormat="1" applyBorder="1" applyAlignment="1">
      <alignment horizontal="center" vertical="center"/>
    </xf>
    <xf numFmtId="0" fontId="1" fillId="2" borderId="4" xfId="0" applyFont="1" applyFill="1" applyBorder="1"/>
    <xf numFmtId="0" fontId="1" fillId="2" borderId="5" xfId="0" applyFont="1" applyFill="1" applyBorder="1"/>
    <xf numFmtId="0" fontId="1" fillId="2" borderId="6" xfId="0" applyFont="1" applyFill="1" applyBorder="1"/>
    <xf numFmtId="0" fontId="2" fillId="0" borderId="0" xfId="0" applyFont="1" applyAlignment="1">
      <alignment horizontal="center" vertical="center" wrapText="1"/>
    </xf>
    <xf numFmtId="0" fontId="2" fillId="0" borderId="0" xfId="0" applyFont="1"/>
    <xf numFmtId="2" fontId="2" fillId="0" borderId="0" xfId="0" applyNumberFormat="1" applyFont="1" applyAlignment="1">
      <alignment horizontal="center" vertical="center" wrapText="1"/>
    </xf>
    <xf numFmtId="0" fontId="0" fillId="0" borderId="3" xfId="0" applyBorder="1" applyAlignment="1">
      <alignment horizontal="center" vertical="center"/>
    </xf>
    <xf numFmtId="0" fontId="0" fillId="0" borderId="9" xfId="0" applyBorder="1" applyAlignment="1">
      <alignment horizontal="center" vertical="center"/>
    </xf>
    <xf numFmtId="0" fontId="1" fillId="2" borderId="4" xfId="0" applyFont="1" applyFill="1" applyBorder="1" applyAlignment="1">
      <alignment horizontal="center" vertical="center" wrapText="1"/>
    </xf>
    <xf numFmtId="0" fontId="1" fillId="2" borderId="5" xfId="0" applyFont="1" applyFill="1" applyBorder="1" applyAlignment="1">
      <alignment horizontal="center" vertical="center" wrapText="1"/>
    </xf>
    <xf numFmtId="2" fontId="1" fillId="2" borderId="5" xfId="0" applyNumberFormat="1" applyFont="1" applyFill="1" applyBorder="1" applyAlignment="1">
      <alignment horizontal="center" vertical="center" wrapText="1"/>
    </xf>
    <xf numFmtId="0" fontId="1" fillId="2" borderId="6" xfId="0" applyFont="1" applyFill="1" applyBorder="1" applyAlignment="1">
      <alignment horizontal="center" vertical="center" wrapText="1"/>
    </xf>
    <xf numFmtId="2" fontId="0" fillId="0" borderId="8" xfId="0" applyNumberFormat="1" applyBorder="1" applyAlignment="1">
      <alignment horizontal="center" vertical="center"/>
    </xf>
    <xf numFmtId="0" fontId="0" fillId="0" borderId="9" xfId="0" applyBorder="1"/>
    <xf numFmtId="0" fontId="0" fillId="0" borderId="10" xfId="0" applyBorder="1"/>
    <xf numFmtId="0" fontId="0" fillId="0" borderId="7" xfId="0" applyBorder="1"/>
    <xf numFmtId="0" fontId="0" fillId="0" borderId="11" xfId="0" applyBorder="1"/>
    <xf numFmtId="0" fontId="0" fillId="0" borderId="12" xfId="0" applyBorder="1"/>
    <xf numFmtId="0" fontId="0" fillId="0" borderId="6" xfId="0" applyBorder="1"/>
    <xf numFmtId="0" fontId="0" fillId="0" borderId="13" xfId="0" applyBorder="1"/>
    <xf numFmtId="0" fontId="0" fillId="0" borderId="4" xfId="0" applyBorder="1"/>
    <xf numFmtId="0" fontId="0" fillId="0" borderId="5" xfId="0" applyBorder="1" applyAlignment="1">
      <alignment horizontal="center" vertical="center"/>
    </xf>
    <xf numFmtId="0" fontId="1" fillId="2" borderId="14" xfId="0" applyFont="1" applyFill="1" applyBorder="1" applyAlignment="1">
      <alignment horizontal="center" vertical="center"/>
    </xf>
    <xf numFmtId="164" fontId="2" fillId="3" borderId="8" xfId="0" applyNumberFormat="1" applyFont="1" applyFill="1" applyBorder="1" applyAlignment="1">
      <alignment horizontal="center" vertical="center"/>
    </xf>
    <xf numFmtId="0" fontId="0" fillId="3" borderId="0" xfId="0" applyFill="1" applyAlignment="1">
      <alignment horizontal="center" vertical="center"/>
    </xf>
    <xf numFmtId="0" fontId="2" fillId="3" borderId="0" xfId="0" applyFont="1" applyFill="1" applyAlignment="1">
      <alignment horizontal="center" vertical="center"/>
    </xf>
    <xf numFmtId="2" fontId="0" fillId="3" borderId="0" xfId="0" applyNumberFormat="1" applyFill="1" applyAlignment="1">
      <alignment horizontal="center" vertical="center"/>
    </xf>
    <xf numFmtId="0" fontId="0" fillId="0" borderId="0" xfId="0" pivotButton="1"/>
    <xf numFmtId="0" fontId="0" fillId="0" borderId="0" xfId="0" applyAlignment="1">
      <alignment horizontal="left"/>
    </xf>
    <xf numFmtId="0" fontId="0" fillId="0" borderId="0" xfId="0" applyAlignment="1">
      <alignment horizontal="center" vertical="center"/>
    </xf>
    <xf numFmtId="164" fontId="0" fillId="0" borderId="0" xfId="0" applyNumberFormat="1"/>
    <xf numFmtId="0" fontId="0" fillId="0" borderId="0" xfId="0" applyAlignment="1">
      <alignment vertical="center" wrapText="1"/>
    </xf>
    <xf numFmtId="0" fontId="0" fillId="0" borderId="5" xfId="0" applyBorder="1"/>
    <xf numFmtId="0" fontId="0" fillId="0" borderId="1" xfId="0" pivotButton="1" applyBorder="1"/>
    <xf numFmtId="0" fontId="0" fillId="0" borderId="1" xfId="0" applyBorder="1" applyAlignment="1">
      <alignment horizontal="left"/>
    </xf>
    <xf numFmtId="0" fontId="0" fillId="0" borderId="8" xfId="0" applyBorder="1" applyAlignment="1">
      <alignment horizontal="left"/>
    </xf>
    <xf numFmtId="0" fontId="0" fillId="0" borderId="14" xfId="0" applyBorder="1" applyAlignment="1">
      <alignment horizontal="left"/>
    </xf>
    <xf numFmtId="0" fontId="0" fillId="0" borderId="5" xfId="0" applyBorder="1" applyAlignment="1">
      <alignment horizontal="left"/>
    </xf>
    <xf numFmtId="2" fontId="0" fillId="0" borderId="1" xfId="0" applyNumberFormat="1" applyBorder="1"/>
    <xf numFmtId="0" fontId="0" fillId="0" borderId="2" xfId="0" applyBorder="1"/>
    <xf numFmtId="0" fontId="0" fillId="0" borderId="3" xfId="0" applyBorder="1"/>
    <xf numFmtId="2" fontId="0" fillId="0" borderId="8" xfId="0" applyNumberFormat="1" applyBorder="1"/>
    <xf numFmtId="0" fontId="0" fillId="0" borderId="0" xfId="0" applyAlignment="1">
      <alignment vertical="top"/>
    </xf>
    <xf numFmtId="0" fontId="2" fillId="0" borderId="0" xfId="0" applyFont="1" applyAlignment="1">
      <alignment vertical="center" wrapText="1"/>
    </xf>
    <xf numFmtId="0" fontId="4" fillId="0" borderId="0" xfId="0" applyFont="1"/>
    <xf numFmtId="165" fontId="2" fillId="3" borderId="8" xfId="0" applyNumberFormat="1" applyFont="1" applyFill="1" applyBorder="1" applyAlignment="1">
      <alignment horizontal="center" vertical="center"/>
    </xf>
    <xf numFmtId="0" fontId="0" fillId="0" borderId="8" xfId="0" applyBorder="1"/>
    <xf numFmtId="0" fontId="0" fillId="0" borderId="14" xfId="0" applyBorder="1"/>
    <xf numFmtId="0" fontId="0" fillId="0" borderId="0" xfId="0" applyNumberFormat="1"/>
  </cellXfs>
  <cellStyles count="1">
    <cellStyle name="Normal" xfId="0" builtinId="0"/>
  </cellStyles>
  <dxfs count="78">
    <dxf>
      <font>
        <b/>
        <i val="0"/>
        <color theme="0"/>
      </font>
      <fill>
        <patternFill>
          <bgColor rgb="FF00B050"/>
        </patternFill>
      </fill>
    </dxf>
    <dxf>
      <font>
        <b/>
        <i val="0"/>
        <color theme="0"/>
      </font>
      <fill>
        <patternFill>
          <bgColor rgb="FFFF0000"/>
        </patternFill>
      </fill>
    </dxf>
    <dxf>
      <font>
        <b/>
        <i val="0"/>
        <color theme="0"/>
      </font>
      <fill>
        <patternFill>
          <bgColor rgb="FF00B050"/>
        </patternFill>
      </fill>
    </dxf>
    <dxf>
      <font>
        <b/>
        <i val="0"/>
        <color theme="0"/>
      </font>
      <fill>
        <patternFill>
          <bgColor rgb="FFFF0000"/>
        </patternFill>
      </fill>
    </dxf>
    <dxf>
      <font>
        <b/>
        <i val="0"/>
        <color theme="1"/>
      </font>
      <fill>
        <patternFill>
          <bgColor rgb="FFFFFF00"/>
        </patternFill>
      </fill>
    </dxf>
    <dxf>
      <border diagonalUp="0" diagonalDown="0">
        <left style="thin">
          <color indexed="64"/>
        </left>
        <right/>
        <top style="thin">
          <color indexed="64"/>
        </top>
        <bottom style="thin">
          <color indexed="64"/>
        </bottom>
        <vertical/>
        <horizontal/>
      </border>
    </dxf>
    <dxf>
      <numFmt numFmtId="2" formatCode="0.00"/>
      <border diagonalUp="0" diagonalDown="0">
        <left style="thin">
          <color indexed="64"/>
        </left>
        <right style="thin">
          <color indexed="64"/>
        </right>
        <top style="thin">
          <color indexed="64"/>
        </top>
        <bottom style="thin">
          <color indexed="64"/>
        </bottom>
        <vertical/>
        <horizontal/>
      </border>
    </dxf>
    <dxf>
      <border diagonalUp="0" diagonalDown="0">
        <left/>
        <right style="thin">
          <color indexed="64"/>
        </right>
        <top style="thin">
          <color indexed="64"/>
        </top>
        <bottom style="thin">
          <color indexed="64"/>
        </bottom>
        <vertical/>
        <horizontal/>
      </border>
    </dxf>
    <dxf>
      <border outline="0">
        <top style="thin">
          <color indexed="64"/>
        </top>
      </border>
    </dxf>
    <dxf>
      <border outline="0">
        <left style="thin">
          <color indexed="64"/>
        </left>
        <right style="thin">
          <color indexed="64"/>
        </right>
        <top style="thin">
          <color indexed="64"/>
        </top>
        <bottom style="thin">
          <color indexed="64"/>
        </bottom>
      </border>
    </dxf>
    <dxf>
      <border outline="0">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0" formatCode="General"/>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border diagonalUp="0" diagonalDown="0">
        <left style="thin">
          <color indexed="64"/>
        </left>
        <right/>
        <top style="thin">
          <color indexed="64"/>
        </top>
        <bottom style="thin">
          <color indexed="64"/>
        </bottom>
        <vertical style="thin">
          <color indexed="64"/>
        </vertical>
        <horizontal style="thin">
          <color indexed="64"/>
        </horizontal>
      </border>
    </dxf>
    <dxf>
      <numFmt numFmtId="2" formatCode="0.00"/>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2" formatCode="0.00"/>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2" formatCode="0.00"/>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center" textRotation="0" wrapText="0" indent="0" justifyLastLine="0" shrinkToFit="0" readingOrder="0"/>
      <border diagonalUp="0" diagonalDown="0">
        <left/>
        <right style="thin">
          <color indexed="64"/>
        </right>
        <top style="thin">
          <color indexed="64"/>
        </top>
        <bottom style="thin">
          <color indexed="64"/>
        </bottom>
        <vertical style="thin">
          <color indexed="64"/>
        </vertical>
        <horizontal style="thin">
          <color indexed="64"/>
        </horizontal>
      </border>
    </dxf>
    <dxf>
      <border>
        <top style="thin">
          <color indexed="64"/>
        </top>
      </border>
    </dxf>
    <dxf>
      <border diagonalUp="0" diagonalDown="0">
        <left style="thin">
          <color indexed="64"/>
        </left>
        <right style="thin">
          <color indexed="64"/>
        </right>
        <top style="thin">
          <color indexed="64"/>
        </top>
        <bottom style="thin">
          <color indexed="64"/>
        </bottom>
      </border>
    </dxf>
    <dxf>
      <alignment horizontal="center" vertical="center" textRotation="0" wrapText="0" indent="0" justifyLastLine="0" shrinkToFit="0" readingOrder="0"/>
    </dxf>
    <dxf>
      <border>
        <bottom style="thin">
          <color indexed="64"/>
        </bottom>
      </border>
    </dxf>
    <dxf>
      <font>
        <b/>
        <i val="0"/>
        <strike val="0"/>
        <condense val="0"/>
        <extend val="0"/>
        <outline val="0"/>
        <shadow val="0"/>
        <u val="none"/>
        <vertAlign val="baseline"/>
        <sz val="11"/>
        <color theme="0"/>
        <name val="Aptos Narrow"/>
        <family val="2"/>
        <scheme val="none"/>
      </font>
      <fill>
        <patternFill patternType="solid">
          <fgColor indexed="64"/>
          <bgColor theme="1"/>
        </patternFill>
      </fill>
      <alignment horizontal="center" vertical="center" textRotation="0" wrapText="1" indent="0" justifyLastLine="0" shrinkToFit="0" readingOrder="0"/>
      <border diagonalUp="0" diagonalDown="0">
        <left style="thin">
          <color indexed="64"/>
        </left>
        <right style="thin">
          <color indexed="64"/>
        </right>
        <top/>
        <bottom/>
        <vertical style="thin">
          <color indexed="64"/>
        </vertical>
        <horizontal style="thin">
          <color indexed="64"/>
        </horizontal>
      </border>
    </dxf>
    <dxf>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numFmt numFmtId="2" formatCode="0.00"/>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numFmt numFmtId="2" formatCode="0.00"/>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center" vertical="center" textRotation="0" wrapText="0" indent="0" justifyLastLine="0" shrinkToFit="0" readingOrder="0"/>
    </dxf>
    <dxf>
      <font>
        <b/>
        <i val="0"/>
        <strike val="0"/>
        <condense val="0"/>
        <extend val="0"/>
        <outline val="0"/>
        <shadow val="0"/>
        <u val="none"/>
        <vertAlign val="baseline"/>
        <sz val="11"/>
        <color theme="1"/>
        <name val="Aptos Narrow"/>
        <family val="2"/>
        <scheme val="none"/>
      </font>
      <fill>
        <patternFill patternType="none">
          <fgColor indexed="64"/>
          <bgColor auto="1"/>
        </patternFill>
      </fill>
      <alignment horizontal="center" vertical="center" textRotation="0" wrapText="1" indent="0" justifyLastLine="0" shrinkToFit="0" readingOrder="0"/>
    </dxf>
    <dxf>
      <numFmt numFmtId="0" formatCode="General"/>
      <alignment horizontal="center" vertical="center" textRotation="0" wrapText="0" indent="0" justifyLastLine="0" shrinkToFit="0" readingOrder="0"/>
      <border diagonalUp="0" diagonalDown="0">
        <left style="thin">
          <color indexed="64"/>
        </left>
        <right/>
        <top/>
        <bottom/>
        <vertical style="thin">
          <color indexed="64"/>
        </vertical>
        <horizontal style="thin">
          <color indexed="64"/>
        </horizontal>
      </border>
    </dxf>
    <dxf>
      <numFmt numFmtId="0" formatCode="General"/>
      <alignment horizontal="center" vertical="center" textRotation="0" wrapText="0" indent="0" justifyLastLine="0" shrinkToFit="0" readingOrder="0"/>
      <border diagonalUp="0" diagonalDown="0">
        <left style="thin">
          <color indexed="64"/>
        </left>
        <right/>
        <top style="thin">
          <color indexed="64"/>
        </top>
        <bottom style="thin">
          <color indexed="64"/>
        </bottom>
      </border>
    </dxf>
    <dxf>
      <border diagonalUp="0" diagonalDown="0">
        <left style="thin">
          <color indexed="64"/>
        </left>
        <right style="thin">
          <color indexed="64"/>
        </right>
        <top/>
        <bottom/>
        <vertical style="thin">
          <color indexed="64"/>
        </vertical>
        <horizontal style="thin">
          <color indexed="64"/>
        </horizontal>
      </border>
    </dxf>
    <dxf>
      <numFmt numFmtId="164" formatCode="_-[$$-409]* #,##0.00_ ;_-[$$-409]* \-#,##0.00\ ;_-[$$-409]* &quot;-&quot;??_ ;_-@_ "/>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bottom/>
        <vertical style="thin">
          <color indexed="64"/>
        </vertical>
        <horizontal style="thin">
          <color indexed="64"/>
        </horizontal>
      </border>
    </dxf>
    <dxf>
      <numFmt numFmtId="164" formatCode="_-[$$-409]* #,##0.00_ ;_-[$$-409]* \-#,##0.00\ ;_-[$$-409]* &quot;-&quot;??_ ;_-@_ "/>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center" textRotation="0" wrapText="0" indent="0" justifyLastLine="0" shrinkToFit="0" readingOrder="0"/>
      <border diagonalUp="0" diagonalDown="0">
        <left style="thin">
          <color indexed="64"/>
        </left>
        <right style="thin">
          <color indexed="64"/>
        </right>
        <top/>
        <bottom/>
        <vertical style="thin">
          <color indexed="64"/>
        </vertical>
        <horizontal style="thin">
          <color indexed="64"/>
        </horizontal>
      </border>
    </dxf>
    <dxf>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center" vertical="center" textRotation="0" wrapText="0" indent="0" justifyLastLine="0" shrinkToFit="0" readingOrder="0"/>
      <border diagonalUp="0" diagonalDown="0">
        <left style="thin">
          <color indexed="64"/>
        </left>
        <right style="thin">
          <color indexed="64"/>
        </right>
        <top/>
        <bottom/>
        <vertical style="thin">
          <color indexed="64"/>
        </vertical>
        <horizontal style="thin">
          <color indexed="64"/>
        </horizontal>
      </border>
    </dxf>
    <dxf>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center" vertical="center" textRotation="0" wrapText="0" indent="0" justifyLastLine="0" shrinkToFit="0" readingOrder="0"/>
      <border diagonalUp="0" diagonalDown="0">
        <left style="thin">
          <color indexed="64"/>
        </left>
        <right style="thin">
          <color indexed="64"/>
        </right>
        <top/>
        <bottom/>
        <vertical style="thin">
          <color indexed="64"/>
        </vertical>
        <horizontal style="thin">
          <color indexed="64"/>
        </horizontal>
      </border>
    </dxf>
    <dxf>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center" vertical="center" textRotation="0" wrapText="0" indent="0" justifyLastLine="0" shrinkToFit="0" readingOrder="0"/>
      <border diagonalUp="0" diagonalDown="0">
        <left/>
        <right style="thin">
          <color indexed="64"/>
        </right>
        <top/>
        <bottom/>
        <vertical style="thin">
          <color indexed="64"/>
        </vertical>
        <horizontal style="thin">
          <color indexed="64"/>
        </horizontal>
      </border>
    </dxf>
    <dxf>
      <alignment horizontal="center" vertical="center" textRotation="0" wrapText="0" indent="0" justifyLastLine="0" shrinkToFit="0" readingOrder="0"/>
      <border diagonalUp="0" diagonalDown="0" outline="0">
        <left/>
        <right style="thin">
          <color indexed="64"/>
        </right>
        <top style="thin">
          <color indexed="64"/>
        </top>
        <bottom style="thin">
          <color indexed="64"/>
        </bottom>
      </border>
    </dxf>
    <dxf>
      <border>
        <top style="thin">
          <color indexed="64"/>
        </top>
      </border>
    </dxf>
    <dxf>
      <border diagonalUp="0" diagonalDown="0">
        <left style="thin">
          <color indexed="64"/>
        </left>
        <right style="thin">
          <color indexed="64"/>
        </right>
        <top/>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border>
    </dxf>
    <dxf>
      <alignment horizontal="center" vertical="center" textRotation="0" wrapText="0" indent="0" justifyLastLine="0" shrinkToFit="0" readingOrder="0"/>
    </dxf>
    <dxf>
      <border>
        <bottom style="thin">
          <color indexed="64"/>
        </bottom>
      </border>
    </dxf>
    <dxf>
      <font>
        <b/>
        <i val="0"/>
        <strike val="0"/>
        <condense val="0"/>
        <extend val="0"/>
        <outline val="0"/>
        <shadow val="0"/>
        <u val="none"/>
        <vertAlign val="baseline"/>
        <sz val="11"/>
        <color theme="0"/>
        <name val="Aptos Narrow"/>
        <family val="2"/>
        <scheme val="none"/>
      </font>
      <fill>
        <patternFill patternType="solid">
          <fgColor indexed="64"/>
          <bgColor theme="1"/>
        </patternFill>
      </fill>
      <border diagonalUp="0" diagonalDown="0" outline="0">
        <left style="thin">
          <color indexed="64"/>
        </left>
        <right style="thin">
          <color indexed="64"/>
        </right>
        <top/>
        <bottom/>
      </border>
    </dxf>
    <dxf>
      <alignment horizontal="center" vertical="center" textRotation="0" wrapText="0" indent="0" justifyLastLine="0" shrinkToFit="0" readingOrder="0"/>
      <border diagonalUp="0" diagonalDown="0">
        <left style="thin">
          <color indexed="64"/>
        </left>
        <right/>
        <top style="thin">
          <color indexed="64"/>
        </top>
        <bottom style="thin">
          <color indexed="64"/>
        </bottom>
        <vertical style="thin">
          <color indexed="64"/>
        </vertical>
        <horizontal style="thin">
          <color indexed="64"/>
        </horizontal>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19" formatCode="dd/mm/yyyy"/>
      <alignment horizontal="center" vertical="center" textRotation="0" wrapText="0" indent="0" justifyLastLine="0" shrinkToFit="0" readingOrder="0"/>
      <border diagonalUp="0" diagonalDown="0">
        <left/>
        <right style="thin">
          <color indexed="64"/>
        </right>
        <top style="thin">
          <color indexed="64"/>
        </top>
        <bottom style="thin">
          <color indexed="64"/>
        </bottom>
        <vertical style="thin">
          <color indexed="64"/>
        </vertical>
        <horizontal style="thin">
          <color indexed="64"/>
        </horizontal>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center" textRotation="0" wrapText="0" indent="0" justifyLastLine="0" shrinkToFit="0" readingOrder="0"/>
    </dxf>
    <dxf>
      <font>
        <b/>
        <i val="0"/>
        <strike val="0"/>
        <condense val="0"/>
        <extend val="0"/>
        <outline val="0"/>
        <shadow val="0"/>
        <u val="none"/>
        <vertAlign val="baseline"/>
        <sz val="11"/>
        <color theme="0"/>
        <name val="Aptos Narrow"/>
        <family val="2"/>
        <scheme val="none"/>
      </font>
      <fill>
        <patternFill patternType="solid">
          <fgColor indexed="64"/>
          <bgColor theme="1"/>
        </patternFill>
      </fill>
      <alignment horizontal="center" vertical="center" textRotation="0" wrapText="0" indent="0" justifyLastLine="0" shrinkToFit="0" readingOrder="0"/>
      <border diagonalUp="0" diagonalDown="0">
        <left style="thin">
          <color indexed="64"/>
        </left>
        <right style="thin">
          <color indexed="64"/>
        </right>
        <top/>
        <bottom/>
        <vertical style="thin">
          <color indexed="64"/>
        </vertical>
        <horizontal style="thin">
          <color indexed="64"/>
        </horizontal>
      </border>
    </dxf>
    <dxf>
      <numFmt numFmtId="164" formatCode="_-[$$-409]* #,##0.00_ ;_-[$$-409]* \-#,##0.00\ ;_-[$$-409]* &quot;-&quot;??_ ;_-@_ "/>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_-[$$-409]* #,##0.00_ ;_-[$$-409]* \-#,##0.00\ ;_-[$$-409]* &quot;-&quot;??_ ;_-@_ "/>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_-[$$-409]* #,##0.00_ ;_-[$$-409]* \-#,##0.00\ ;_-[$$-409]* &quot;-&quot;??_ ;_-@_ "/>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outline="0">
        <top style="thin">
          <color indexed="64"/>
        </top>
      </border>
    </dxf>
    <dxf>
      <alignment horizontal="center" vertical="center" textRotation="0" wrapText="0" indent="0" justifyLastLine="0" shrinkToFit="0" readingOrder="0"/>
    </dxf>
    <dxf>
      <border outline="0">
        <bottom style="thin">
          <color indexed="64"/>
        </bottom>
      </border>
    </dxf>
    <dxf>
      <font>
        <b/>
        <i val="0"/>
        <strike val="0"/>
        <condense val="0"/>
        <extend val="0"/>
        <outline val="0"/>
        <shadow val="0"/>
        <u val="none"/>
        <vertAlign val="baseline"/>
        <sz val="11"/>
        <color theme="0"/>
        <name val="Aptos Narrow"/>
        <family val="2"/>
        <scheme val="none"/>
      </font>
      <fill>
        <patternFill patternType="none">
          <fgColor indexed="64"/>
          <bgColor auto="1"/>
        </patternFill>
      </fill>
      <alignment horizontal="center" vertical="center" textRotation="0" wrapText="0" indent="0" justifyLastLine="0" shrinkToFit="0" readingOrder="0"/>
      <border diagonalUp="0" diagonalDown="0" outline="0">
        <left style="thin">
          <color indexed="64"/>
        </left>
        <right style="thin">
          <color indexed="64"/>
        </right>
        <top/>
        <bottom/>
      </border>
    </dxf>
  </dxfs>
  <tableStyles count="3" defaultTableStyle="TableStyleMedium2" defaultPivotStyle="PivotStyleLight16">
    <tableStyle name="Slicer Style 1" pivot="0" table="0" count="0" xr9:uid="{32619055-9DF8-477E-B6CD-24D9C5A770E6}"/>
    <tableStyle name="Slicer Style 2" pivot="0" table="0" count="0" xr9:uid="{96DEF756-AF80-40DF-8DCC-F31F95173866}"/>
    <tableStyle name="Slicer Style 3" pivot="0" table="0" count="1" xr9:uid="{D18B19DF-17B1-4C84-8E4D-C46879EAE332}"/>
  </tableStyles>
  <colors>
    <mruColors>
      <color rgb="FF2D8CDB"/>
      <color rgb="FFF7F7F8"/>
      <color rgb="FFF7F7F7"/>
      <color rgb="FF0060F6"/>
    </mruColors>
  </colors>
  <extLst>
    <ext xmlns:x14="http://schemas.microsoft.com/office/spreadsheetml/2009/9/main" uri="{46F421CA-312F-682f-3DD2-61675219B42D}">
      <x14:dxfs count="1">
        <dxf>
          <fill>
            <patternFill>
              <bgColor rgb="FF002060"/>
            </patternFill>
          </fill>
        </dxf>
      </x14:dxfs>
    </ext>
    <ext xmlns:x14="http://schemas.microsoft.com/office/spreadsheetml/2009/9/main" uri="{EB79DEF2-80B8-43e5-95BD-54CBDDF9020C}">
      <x14:slicerStyles defaultSlicerStyle="SlicerStyleLight1">
        <x14:slicerStyle name="Slicer Style 1"/>
        <x14:slicerStyle name="Slicer Style 2"/>
        <x14:slicerStyle name="Slicer Style 3">
          <x14:slicerStyleElements>
            <x14:slicerStyleElement type="selectedItemWith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6.xml"/><Relationship Id="rId18" Type="http://schemas.openxmlformats.org/officeDocument/2006/relationships/connections" Target="connections.xml"/><Relationship Id="rId26" Type="http://schemas.openxmlformats.org/officeDocument/2006/relationships/customXml" Target="../customXml/item3.xml"/><Relationship Id="rId39" Type="http://schemas.openxmlformats.org/officeDocument/2006/relationships/customXml" Target="../customXml/item16.xml"/><Relationship Id="rId21" Type="http://schemas.openxmlformats.org/officeDocument/2006/relationships/sheetMetadata" Target="metadata.xml"/><Relationship Id="rId34" Type="http://schemas.openxmlformats.org/officeDocument/2006/relationships/customXml" Target="../customXml/item11.xml"/><Relationship Id="rId42" Type="http://schemas.openxmlformats.org/officeDocument/2006/relationships/customXml" Target="../customXml/item19.xml"/><Relationship Id="rId47" Type="http://schemas.openxmlformats.org/officeDocument/2006/relationships/customXml" Target="../customXml/item24.xml"/><Relationship Id="rId50" Type="http://schemas.openxmlformats.org/officeDocument/2006/relationships/customXml" Target="../customXml/item27.xml"/><Relationship Id="rId7" Type="http://schemas.openxmlformats.org/officeDocument/2006/relationships/worksheet" Target="worksheets/sheet7.xml"/><Relationship Id="rId2" Type="http://schemas.openxmlformats.org/officeDocument/2006/relationships/worksheet" Target="worksheets/sheet2.xml"/><Relationship Id="rId16" Type="http://schemas.microsoft.com/office/2007/relationships/slicerCache" Target="slicerCaches/slicerCache1.xml"/><Relationship Id="rId29" Type="http://schemas.openxmlformats.org/officeDocument/2006/relationships/customXml" Target="../customXml/item6.xml"/><Relationship Id="rId11" Type="http://schemas.openxmlformats.org/officeDocument/2006/relationships/pivotCacheDefinition" Target="pivotCache/pivotCacheDefinition4.xml"/><Relationship Id="rId24" Type="http://schemas.openxmlformats.org/officeDocument/2006/relationships/customXml" Target="../customXml/item1.xml"/><Relationship Id="rId32" Type="http://schemas.openxmlformats.org/officeDocument/2006/relationships/customXml" Target="../customXml/item9.xml"/><Relationship Id="rId37" Type="http://schemas.openxmlformats.org/officeDocument/2006/relationships/customXml" Target="../customXml/item14.xml"/><Relationship Id="rId40" Type="http://schemas.openxmlformats.org/officeDocument/2006/relationships/customXml" Target="../customXml/item17.xml"/><Relationship Id="rId45" Type="http://schemas.openxmlformats.org/officeDocument/2006/relationships/customXml" Target="../customXml/item22.xml"/><Relationship Id="rId5" Type="http://schemas.openxmlformats.org/officeDocument/2006/relationships/worksheet" Target="worksheets/sheet5.xml"/><Relationship Id="rId15" Type="http://schemas.openxmlformats.org/officeDocument/2006/relationships/pivotCacheDefinition" Target="pivotCache/pivotCacheDefinition8.xml"/><Relationship Id="rId23" Type="http://schemas.openxmlformats.org/officeDocument/2006/relationships/calcChain" Target="calcChain.xml"/><Relationship Id="rId28" Type="http://schemas.openxmlformats.org/officeDocument/2006/relationships/customXml" Target="../customXml/item5.xml"/><Relationship Id="rId36" Type="http://schemas.openxmlformats.org/officeDocument/2006/relationships/customXml" Target="../customXml/item13.xml"/><Relationship Id="rId49" Type="http://schemas.openxmlformats.org/officeDocument/2006/relationships/customXml" Target="../customXml/item26.xml"/><Relationship Id="rId10" Type="http://schemas.openxmlformats.org/officeDocument/2006/relationships/pivotCacheDefinition" Target="pivotCache/pivotCacheDefinition3.xml"/><Relationship Id="rId19" Type="http://schemas.openxmlformats.org/officeDocument/2006/relationships/styles" Target="styles.xml"/><Relationship Id="rId31" Type="http://schemas.openxmlformats.org/officeDocument/2006/relationships/customXml" Target="../customXml/item8.xml"/><Relationship Id="rId44" Type="http://schemas.openxmlformats.org/officeDocument/2006/relationships/customXml" Target="../customXml/item21.xml"/><Relationship Id="rId4" Type="http://schemas.openxmlformats.org/officeDocument/2006/relationships/worksheet" Target="worksheets/sheet4.xml"/><Relationship Id="rId9" Type="http://schemas.openxmlformats.org/officeDocument/2006/relationships/pivotCacheDefinition" Target="pivotCache/pivotCacheDefinition2.xml"/><Relationship Id="rId14" Type="http://schemas.openxmlformats.org/officeDocument/2006/relationships/pivotCacheDefinition" Target="pivotCache/pivotCacheDefinition7.xml"/><Relationship Id="rId22" Type="http://schemas.openxmlformats.org/officeDocument/2006/relationships/powerPivotData" Target="model/item.data"/><Relationship Id="rId27" Type="http://schemas.openxmlformats.org/officeDocument/2006/relationships/customXml" Target="../customXml/item4.xml"/><Relationship Id="rId30" Type="http://schemas.openxmlformats.org/officeDocument/2006/relationships/customXml" Target="../customXml/item7.xml"/><Relationship Id="rId35" Type="http://schemas.openxmlformats.org/officeDocument/2006/relationships/customXml" Target="../customXml/item12.xml"/><Relationship Id="rId43" Type="http://schemas.openxmlformats.org/officeDocument/2006/relationships/customXml" Target="../customXml/item20.xml"/><Relationship Id="rId48" Type="http://schemas.openxmlformats.org/officeDocument/2006/relationships/customXml" Target="../customXml/item25.xml"/><Relationship Id="rId8" Type="http://schemas.openxmlformats.org/officeDocument/2006/relationships/pivotCacheDefinition" Target="pivotCache/pivotCacheDefinition1.xml"/><Relationship Id="rId3" Type="http://schemas.openxmlformats.org/officeDocument/2006/relationships/worksheet" Target="worksheets/sheet3.xml"/><Relationship Id="rId12" Type="http://schemas.openxmlformats.org/officeDocument/2006/relationships/pivotCacheDefinition" Target="pivotCache/pivotCacheDefinition5.xml"/><Relationship Id="rId17" Type="http://schemas.openxmlformats.org/officeDocument/2006/relationships/theme" Target="theme/theme1.xml"/><Relationship Id="rId25" Type="http://schemas.openxmlformats.org/officeDocument/2006/relationships/customXml" Target="../customXml/item2.xml"/><Relationship Id="rId33" Type="http://schemas.openxmlformats.org/officeDocument/2006/relationships/customXml" Target="../customXml/item10.xml"/><Relationship Id="rId38" Type="http://schemas.openxmlformats.org/officeDocument/2006/relationships/customXml" Target="../customXml/item15.xml"/><Relationship Id="rId46" Type="http://schemas.openxmlformats.org/officeDocument/2006/relationships/customXml" Target="../customXml/item23.xml"/><Relationship Id="rId20" Type="http://schemas.openxmlformats.org/officeDocument/2006/relationships/sharedStrings" Target="sharedStrings.xml"/><Relationship Id="rId41" Type="http://schemas.openxmlformats.org/officeDocument/2006/relationships/customXml" Target="../customXml/item18.xml"/><Relationship Id="rId1" Type="http://schemas.openxmlformats.org/officeDocument/2006/relationships/worksheet" Target="worksheets/sheet1.xml"/><Relationship Id="rId6" Type="http://schemas.openxmlformats.org/officeDocument/2006/relationships/worksheet" Target="worksheets/sheet6.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7.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8.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[Inventory_Management_and_Reorder_Optimization_Excel.xlsx]Sheet2!PivotTable2</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Sheet2!$F$31</c:f>
              <c:strCache>
                <c:ptCount val="1"/>
                <c:pt idx="0">
                  <c:v>Total</c:v>
                </c:pt>
              </c:strCache>
            </c:strRef>
          </c:tx>
          <c:spPr>
            <a:solidFill>
              <a:schemeClr val="accent1"/>
            </a:solidFill>
            <a:ln>
              <a:noFill/>
            </a:ln>
            <a:effectLst/>
          </c:spPr>
          <c:invertIfNegative val="0"/>
          <c:cat>
            <c:strRef>
              <c:f>Sheet2!$E$32:$E$39</c:f>
              <c:strCache>
                <c:ptCount val="7"/>
                <c:pt idx="0">
                  <c:v>Bakery</c:v>
                </c:pt>
                <c:pt idx="1">
                  <c:v>Beverages</c:v>
                </c:pt>
                <c:pt idx="2">
                  <c:v>Dairy</c:v>
                </c:pt>
                <c:pt idx="3">
                  <c:v>Fruits</c:v>
                </c:pt>
                <c:pt idx="4">
                  <c:v>Grains</c:v>
                </c:pt>
                <c:pt idx="5">
                  <c:v>Oils</c:v>
                </c:pt>
                <c:pt idx="6">
                  <c:v>Seafood</c:v>
                </c:pt>
              </c:strCache>
            </c:strRef>
          </c:cat>
          <c:val>
            <c:numRef>
              <c:f>Sheet2!$F$32:$F$39</c:f>
              <c:numCache>
                <c:formatCode>General</c:formatCode>
                <c:ptCount val="7"/>
                <c:pt idx="0">
                  <c:v>2</c:v>
                </c:pt>
                <c:pt idx="1">
                  <c:v>5</c:v>
                </c:pt>
                <c:pt idx="2">
                  <c:v>14</c:v>
                </c:pt>
                <c:pt idx="3">
                  <c:v>4</c:v>
                </c:pt>
                <c:pt idx="4">
                  <c:v>4</c:v>
                </c:pt>
                <c:pt idx="5">
                  <c:v>15</c:v>
                </c:pt>
                <c:pt idx="6">
                  <c:v>23</c:v>
                </c:pt>
              </c:numCache>
            </c:numRef>
          </c:val>
          <c:extLst>
            <c:ext xmlns:c16="http://schemas.microsoft.com/office/drawing/2014/chart" uri="{C3380CC4-5D6E-409C-BE32-E72D297353CC}">
              <c16:uniqueId val="{00000000-D955-4119-A8A1-73E5F145B57D}"/>
            </c:ext>
          </c:extLst>
        </c:ser>
        <c:dLbls>
          <c:showLegendKey val="0"/>
          <c:showVal val="0"/>
          <c:showCatName val="0"/>
          <c:showSerName val="0"/>
          <c:showPercent val="0"/>
          <c:showBubbleSize val="0"/>
        </c:dLbls>
        <c:gapWidth val="219"/>
        <c:overlap val="-27"/>
        <c:axId val="785567920"/>
        <c:axId val="785583280"/>
      </c:barChart>
      <c:catAx>
        <c:axId val="78556792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85583280"/>
        <c:crosses val="autoZero"/>
        <c:auto val="1"/>
        <c:lblAlgn val="ctr"/>
        <c:lblOffset val="100"/>
        <c:noMultiLvlLbl val="0"/>
      </c:catAx>
      <c:valAx>
        <c:axId val="78558328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8556792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[Inventory_Management_and_Reorder_Optimization_Excel.xlsx]Sheet2!PivotTable3</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Sheet2!$F$48</c:f>
              <c:strCache>
                <c:ptCount val="1"/>
                <c:pt idx="0">
                  <c:v>Total</c:v>
                </c:pt>
              </c:strCache>
            </c:strRef>
          </c:tx>
          <c:spPr>
            <a:solidFill>
              <a:schemeClr val="accent1"/>
            </a:solidFill>
            <a:ln>
              <a:noFill/>
            </a:ln>
            <a:effectLst/>
          </c:spPr>
          <c:invertIfNegative val="0"/>
          <c:cat>
            <c:strRef>
              <c:f>Sheet2!$E$49:$E$56</c:f>
              <c:strCache>
                <c:ptCount val="7"/>
                <c:pt idx="0">
                  <c:v>Grains</c:v>
                </c:pt>
                <c:pt idx="1">
                  <c:v>Beverages</c:v>
                </c:pt>
                <c:pt idx="2">
                  <c:v>Bakery</c:v>
                </c:pt>
                <c:pt idx="3">
                  <c:v>Fruits</c:v>
                </c:pt>
                <c:pt idx="4">
                  <c:v>Oils</c:v>
                </c:pt>
                <c:pt idx="5">
                  <c:v>Dairy</c:v>
                </c:pt>
                <c:pt idx="6">
                  <c:v>Seafood</c:v>
                </c:pt>
              </c:strCache>
            </c:strRef>
          </c:cat>
          <c:val>
            <c:numRef>
              <c:f>Sheet2!$F$49:$F$56</c:f>
              <c:numCache>
                <c:formatCode>General</c:formatCode>
                <c:ptCount val="7"/>
                <c:pt idx="0">
                  <c:v>315.79523809523812</c:v>
                </c:pt>
                <c:pt idx="1">
                  <c:v>343.91666666666669</c:v>
                </c:pt>
                <c:pt idx="2">
                  <c:v>392.73333333333335</c:v>
                </c:pt>
                <c:pt idx="3">
                  <c:v>876.55238095238099</c:v>
                </c:pt>
                <c:pt idx="4">
                  <c:v>932.98888888888882</c:v>
                </c:pt>
                <c:pt idx="5">
                  <c:v>1804.9773809523808</c:v>
                </c:pt>
                <c:pt idx="6">
                  <c:v>1886.2666666666667</c:v>
                </c:pt>
              </c:numCache>
            </c:numRef>
          </c:val>
          <c:extLst>
            <c:ext xmlns:c16="http://schemas.microsoft.com/office/drawing/2014/chart" uri="{C3380CC4-5D6E-409C-BE32-E72D297353CC}">
              <c16:uniqueId val="{00000000-7DC3-4C4C-A761-1AD2FB83447B}"/>
            </c:ext>
          </c:extLst>
        </c:ser>
        <c:dLbls>
          <c:showLegendKey val="0"/>
          <c:showVal val="0"/>
          <c:showCatName val="0"/>
          <c:showSerName val="0"/>
          <c:showPercent val="0"/>
          <c:showBubbleSize val="0"/>
        </c:dLbls>
        <c:gapWidth val="182"/>
        <c:axId val="785580400"/>
        <c:axId val="785585680"/>
      </c:barChart>
      <c:catAx>
        <c:axId val="78558040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85585680"/>
        <c:crosses val="autoZero"/>
        <c:auto val="1"/>
        <c:lblAlgn val="ctr"/>
        <c:lblOffset val="100"/>
        <c:noMultiLvlLbl val="0"/>
      </c:catAx>
      <c:valAx>
        <c:axId val="785585680"/>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8558040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[Inventory_Management_and_Reorder_Optimization_Excel.xlsx]Sheet2!PivotTable1</c:name>
    <c:fmtId val="3"/>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s>
    <c:plotArea>
      <c:layout/>
      <c:doughnutChart>
        <c:varyColors val="1"/>
        <c:ser>
          <c:idx val="0"/>
          <c:order val="0"/>
          <c:tx>
            <c:strRef>
              <c:f>Sheet2!$F$14</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6785-4A2F-87AB-3F4D12FA5A2E}"/>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6785-4A2F-87AB-3F4D12FA5A2E}"/>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6785-4A2F-87AB-3F4D12FA5A2E}"/>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6785-4A2F-87AB-3F4D12FA5A2E}"/>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6785-4A2F-87AB-3F4D12FA5A2E}"/>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6785-4A2F-87AB-3F4D12FA5A2E}"/>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0D-6785-4A2F-87AB-3F4D12FA5A2E}"/>
              </c:ext>
            </c:extLst>
          </c:dPt>
          <c:cat>
            <c:strRef>
              <c:f>Sheet2!$E$15:$E$22</c:f>
              <c:strCache>
                <c:ptCount val="7"/>
                <c:pt idx="0">
                  <c:v>Bakery</c:v>
                </c:pt>
                <c:pt idx="1">
                  <c:v>Fruits</c:v>
                </c:pt>
                <c:pt idx="2">
                  <c:v>Beverages</c:v>
                </c:pt>
                <c:pt idx="3">
                  <c:v>Grains</c:v>
                </c:pt>
                <c:pt idx="4">
                  <c:v>Oils</c:v>
                </c:pt>
                <c:pt idx="5">
                  <c:v>Dairy</c:v>
                </c:pt>
                <c:pt idx="6">
                  <c:v>Seafood</c:v>
                </c:pt>
              </c:strCache>
            </c:strRef>
          </c:cat>
          <c:val>
            <c:numRef>
              <c:f>Sheet2!$F$15:$F$22</c:f>
              <c:numCache>
                <c:formatCode>General</c:formatCode>
                <c:ptCount val="7"/>
                <c:pt idx="0">
                  <c:v>15931.900000000001</c:v>
                </c:pt>
                <c:pt idx="1">
                  <c:v>20032.609999999997</c:v>
                </c:pt>
                <c:pt idx="2">
                  <c:v>23341.8</c:v>
                </c:pt>
                <c:pt idx="3">
                  <c:v>30052.58</c:v>
                </c:pt>
                <c:pt idx="4">
                  <c:v>65177.02</c:v>
                </c:pt>
                <c:pt idx="5">
                  <c:v>83495.489999999991</c:v>
                </c:pt>
                <c:pt idx="6">
                  <c:v>459130.10000000003</c:v>
                </c:pt>
              </c:numCache>
            </c:numRef>
          </c:val>
          <c:extLst>
            <c:ext xmlns:c16="http://schemas.microsoft.com/office/drawing/2014/chart" uri="{C3380CC4-5D6E-409C-BE32-E72D297353CC}">
              <c16:uniqueId val="{00000000-48EA-449F-9F1B-22D65E09EDE7}"/>
            </c:ext>
          </c:extLst>
        </c:ser>
        <c:dLbls>
          <c:showLegendKey val="0"/>
          <c:showVal val="0"/>
          <c:showCatName val="0"/>
          <c:showSerName val="0"/>
          <c:showPercent val="0"/>
          <c:showBubbleSize val="0"/>
          <c:showLeaderLines val="1"/>
        </c:dLbls>
        <c:firstSliceAng val="0"/>
        <c:holeSize val="61"/>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[Inventory_Management_and_Reorder_Optimization_Excel.xlsx]Sheet2!PivotTable5</c:name>
    <c:fmtId val="4"/>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dLbl>
          <c:idx val="0"/>
          <c:layout>
            <c:manualLayout>
              <c:x val="-0.17899757972721334"/>
              <c:y val="-0.24291742681969061"/>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dLbl>
          <c:idx val="0"/>
          <c:layout>
            <c:manualLayout>
              <c:x val="0.14319806378177066"/>
              <c:y val="0.25263412389247836"/>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s>
    <c:plotArea>
      <c:layout>
        <c:manualLayout>
          <c:layoutTarget val="inner"/>
          <c:xMode val="edge"/>
          <c:yMode val="edge"/>
          <c:x val="0.20970890002386067"/>
          <c:y val="0.1570401869584328"/>
          <c:w val="0.60709735146743016"/>
          <c:h val="0.77866549964289222"/>
        </c:manualLayout>
      </c:layout>
      <c:doughnutChart>
        <c:varyColors val="1"/>
        <c:ser>
          <c:idx val="0"/>
          <c:order val="0"/>
          <c:tx>
            <c:strRef>
              <c:f>Sheet2!$F$85</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3-94EB-492E-8EF0-A7C0BED410B5}"/>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2-94EB-492E-8EF0-A7C0BED410B5}"/>
              </c:ext>
            </c:extLst>
          </c:dPt>
          <c:dLbls>
            <c:dLbl>
              <c:idx val="0"/>
              <c:layout>
                <c:manualLayout>
                  <c:x val="0.14319806378177066"/>
                  <c:y val="0.25263412389247836"/>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3-94EB-492E-8EF0-A7C0BED410B5}"/>
                </c:ext>
              </c:extLst>
            </c:dLbl>
            <c:dLbl>
              <c:idx val="1"/>
              <c:layout>
                <c:manualLayout>
                  <c:x val="-0.17899757972721334"/>
                  <c:y val="-0.24291742681969061"/>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2-94EB-492E-8EF0-A7C0BED410B5}"/>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Sheet2!$E$86:$E$88</c:f>
              <c:strCache>
                <c:ptCount val="2"/>
                <c:pt idx="0">
                  <c:v>REORDER</c:v>
                </c:pt>
                <c:pt idx="1">
                  <c:v>SUFFICIENT_STOCK</c:v>
                </c:pt>
              </c:strCache>
            </c:strRef>
          </c:cat>
          <c:val>
            <c:numRef>
              <c:f>Sheet2!$F$86:$F$88</c:f>
              <c:numCache>
                <c:formatCode>General</c:formatCode>
                <c:ptCount val="2"/>
                <c:pt idx="0">
                  <c:v>67</c:v>
                </c:pt>
                <c:pt idx="1">
                  <c:v>54</c:v>
                </c:pt>
              </c:numCache>
            </c:numRef>
          </c:val>
          <c:extLst>
            <c:ext xmlns:c16="http://schemas.microsoft.com/office/drawing/2014/chart" uri="{C3380CC4-5D6E-409C-BE32-E72D297353CC}">
              <c16:uniqueId val="{00000000-94EB-492E-8EF0-A7C0BED410B5}"/>
            </c:ext>
          </c:extLst>
        </c:ser>
        <c:dLbls>
          <c:showLegendKey val="0"/>
          <c:showVal val="0"/>
          <c:showCatName val="1"/>
          <c:showSerName val="0"/>
          <c:showPercent val="1"/>
          <c:showBubbleSize val="0"/>
          <c:showLeaderLines val="1"/>
        </c:dLbls>
        <c:firstSliceAng val="0"/>
        <c:holeSize val="5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Sheet2!$E$107</c:f>
              <c:strCache>
                <c:ptCount val="1"/>
                <c:pt idx="0">
                  <c:v>Avg_Daily_Demand</c:v>
                </c:pt>
              </c:strCache>
            </c:strRef>
          </c:tx>
          <c:spPr>
            <a:ln w="19050" cap="rnd">
              <a:noFill/>
              <a:round/>
            </a:ln>
            <a:effectLst/>
          </c:spPr>
          <c:marker>
            <c:symbol val="circle"/>
            <c:size val="5"/>
            <c:spPr>
              <a:solidFill>
                <a:schemeClr val="accent1"/>
              </a:solidFill>
              <a:ln w="9525">
                <a:solidFill>
                  <a:schemeClr val="accent1"/>
                </a:solidFill>
              </a:ln>
              <a:effectLst/>
            </c:spPr>
          </c:marker>
          <c:xVal>
            <c:strRef>
              <c:f>Sheet2!$D$108:$D$228</c:f>
              <c:strCache>
                <c:ptCount val="121"/>
                <c:pt idx="0">
                  <c:v>Bell_Pepper</c:v>
                </c:pt>
                <c:pt idx="1">
                  <c:v>Vegetable_Oil</c:v>
                </c:pt>
                <c:pt idx="2">
                  <c:v>Parmesan_Cheese</c:v>
                </c:pt>
                <c:pt idx="3">
                  <c:v>Carrot</c:v>
                </c:pt>
                <c:pt idx="4">
                  <c:v>Garlic</c:v>
                </c:pt>
                <c:pt idx="5">
                  <c:v>Lemon</c:v>
                </c:pt>
                <c:pt idx="6">
                  <c:v>Coconut_Sugar</c:v>
                </c:pt>
                <c:pt idx="7">
                  <c:v>Anchovies</c:v>
                </c:pt>
                <c:pt idx="8">
                  <c:v>Cheese</c:v>
                </c:pt>
                <c:pt idx="9">
                  <c:v>Yogurt</c:v>
                </c:pt>
                <c:pt idx="10">
                  <c:v>Cheddar_Cheese</c:v>
                </c:pt>
                <c:pt idx="11">
                  <c:v>Avocado_Oil</c:v>
                </c:pt>
                <c:pt idx="12">
                  <c:v>Orange</c:v>
                </c:pt>
                <c:pt idx="13">
                  <c:v>Digestive_Biscuit</c:v>
                </c:pt>
                <c:pt idx="14">
                  <c:v>Cauliflower</c:v>
                </c:pt>
                <c:pt idx="15">
                  <c:v>Pear</c:v>
                </c:pt>
                <c:pt idx="16">
                  <c:v>Egg_(Turkey)</c:v>
                </c:pt>
                <c:pt idx="17">
                  <c:v>Ricotta_Cheese</c:v>
                </c:pt>
                <c:pt idx="18">
                  <c:v>Eggplant</c:v>
                </c:pt>
                <c:pt idx="19">
                  <c:v>Whole_Wheat_Flour</c:v>
                </c:pt>
                <c:pt idx="20">
                  <c:v>Tilapia</c:v>
                </c:pt>
                <c:pt idx="21">
                  <c:v>Grapeseed_Oil</c:v>
                </c:pt>
                <c:pt idx="22">
                  <c:v>Almond_Milk</c:v>
                </c:pt>
                <c:pt idx="23">
                  <c:v>Broccoli</c:v>
                </c:pt>
                <c:pt idx="24">
                  <c:v>Pumpernickel_Bread</c:v>
                </c:pt>
                <c:pt idx="25">
                  <c:v>Swordfish</c:v>
                </c:pt>
                <c:pt idx="26">
                  <c:v>Mackerel</c:v>
                </c:pt>
                <c:pt idx="27">
                  <c:v>Baguette</c:v>
                </c:pt>
                <c:pt idx="28">
                  <c:v>Green_Tea</c:v>
                </c:pt>
                <c:pt idx="29">
                  <c:v>Lobster</c:v>
                </c:pt>
                <c:pt idx="30">
                  <c:v>Rye_Bread</c:v>
                </c:pt>
                <c:pt idx="31">
                  <c:v>Lentils</c:v>
                </c:pt>
                <c:pt idx="32">
                  <c:v>Greek_Yogurt</c:v>
                </c:pt>
                <c:pt idx="33">
                  <c:v>Soda</c:v>
                </c:pt>
                <c:pt idx="34">
                  <c:v>Butter</c:v>
                </c:pt>
                <c:pt idx="35">
                  <c:v>Salmon</c:v>
                </c:pt>
                <c:pt idx="36">
                  <c:v>Milk</c:v>
                </c:pt>
                <c:pt idx="37">
                  <c:v>Shrimp</c:v>
                </c:pt>
                <c:pt idx="38">
                  <c:v>Tuna</c:v>
                </c:pt>
                <c:pt idx="39">
                  <c:v>Scallops</c:v>
                </c:pt>
                <c:pt idx="40">
                  <c:v>Crab</c:v>
                </c:pt>
                <c:pt idx="41">
                  <c:v>Brown_Rice</c:v>
                </c:pt>
                <c:pt idx="42">
                  <c:v>Sourdough_Bread</c:v>
                </c:pt>
                <c:pt idx="43">
                  <c:v>Clams</c:v>
                </c:pt>
                <c:pt idx="44">
                  <c:v>Mussels</c:v>
                </c:pt>
                <c:pt idx="45">
                  <c:v>Oysters</c:v>
                </c:pt>
                <c:pt idx="46">
                  <c:v>White_Bread</c:v>
                </c:pt>
                <c:pt idx="47">
                  <c:v>Trout</c:v>
                </c:pt>
                <c:pt idx="48">
                  <c:v>Coffee_Beans</c:v>
                </c:pt>
                <c:pt idx="49">
                  <c:v>Juice</c:v>
                </c:pt>
                <c:pt idx="50">
                  <c:v>Sparkling_Water</c:v>
                </c:pt>
                <c:pt idx="51">
                  <c:v>Corn_Oil</c:v>
                </c:pt>
                <c:pt idx="52">
                  <c:v>Sunflower_Oil</c:v>
                </c:pt>
                <c:pt idx="53">
                  <c:v>Brie_Cheese</c:v>
                </c:pt>
                <c:pt idx="54">
                  <c:v>Mozzarella_Cheese</c:v>
                </c:pt>
                <c:pt idx="55">
                  <c:v>Blue_Cheese</c:v>
                </c:pt>
                <c:pt idx="56">
                  <c:v>Feta_Cheese</c:v>
                </c:pt>
                <c:pt idx="57">
                  <c:v>Swiss_Cheese</c:v>
                </c:pt>
                <c:pt idx="58">
                  <c:v>Soy_Milk</c:v>
                </c:pt>
                <c:pt idx="59">
                  <c:v>Oat_Milk</c:v>
                </c:pt>
                <c:pt idx="60">
                  <c:v>Cream</c:v>
                </c:pt>
                <c:pt idx="61">
                  <c:v>Sour_Cream</c:v>
                </c:pt>
                <c:pt idx="62">
                  <c:v>Cream_Cheese</c:v>
                </c:pt>
                <c:pt idx="63">
                  <c:v>Whipped_Cream</c:v>
                </c:pt>
                <c:pt idx="64">
                  <c:v>Evaporated_Milk</c:v>
                </c:pt>
                <c:pt idx="65">
                  <c:v>Condensed_Milk</c:v>
                </c:pt>
                <c:pt idx="66">
                  <c:v>Ice_Cream</c:v>
                </c:pt>
                <c:pt idx="67">
                  <c:v>Butter_Milk</c:v>
                </c:pt>
                <c:pt idx="68">
                  <c:v>Ghee</c:v>
                </c:pt>
                <c:pt idx="69">
                  <c:v>Margarine</c:v>
                </c:pt>
                <c:pt idx="70">
                  <c:v>Peanut_Oil</c:v>
                </c:pt>
                <c:pt idx="71">
                  <c:v>Sesame_Oil</c:v>
                </c:pt>
                <c:pt idx="72">
                  <c:v>Palm_Oil</c:v>
                </c:pt>
                <c:pt idx="73">
                  <c:v>Flaxseed_Oil</c:v>
                </c:pt>
                <c:pt idx="74">
                  <c:v>Lard</c:v>
                </c:pt>
                <c:pt idx="75">
                  <c:v>Shortening</c:v>
                </c:pt>
                <c:pt idx="76">
                  <c:v>Extra_Virgin_Olive_Oil</c:v>
                </c:pt>
                <c:pt idx="77">
                  <c:v>Honey</c:v>
                </c:pt>
                <c:pt idx="78">
                  <c:v>Maple_Syrup</c:v>
                </c:pt>
                <c:pt idx="79">
                  <c:v>Egg_(Quail)</c:v>
                </c:pt>
                <c:pt idx="80">
                  <c:v>Herbal_Tea</c:v>
                </c:pt>
                <c:pt idx="81">
                  <c:v>Coconut_Oil</c:v>
                </c:pt>
                <c:pt idx="82">
                  <c:v>Buttermilk</c:v>
                </c:pt>
                <c:pt idx="83">
                  <c:v>Evaporated_Milk</c:v>
                </c:pt>
                <c:pt idx="84">
                  <c:v>Powdered_Sugar</c:v>
                </c:pt>
                <c:pt idx="85">
                  <c:v>Cod</c:v>
                </c:pt>
                <c:pt idx="86">
                  <c:v>Kiwi</c:v>
                </c:pt>
                <c:pt idx="87">
                  <c:v>Haddock</c:v>
                </c:pt>
                <c:pt idx="88">
                  <c:v>Tomato</c:v>
                </c:pt>
                <c:pt idx="89">
                  <c:v>Gouda_Cheese</c:v>
                </c:pt>
                <c:pt idx="90">
                  <c:v>Spinach</c:v>
                </c:pt>
                <c:pt idx="91">
                  <c:v>Canola_Oil</c:v>
                </c:pt>
                <c:pt idx="92">
                  <c:v>Basmati_Rice</c:v>
                </c:pt>
                <c:pt idx="93">
                  <c:v>Oatmeal_Biscuit</c:v>
                </c:pt>
                <c:pt idx="94">
                  <c:v>Green_Beans</c:v>
                </c:pt>
                <c:pt idx="95">
                  <c:v>Apple</c:v>
                </c:pt>
                <c:pt idx="96">
                  <c:v>Peas</c:v>
                </c:pt>
                <c:pt idx="97">
                  <c:v>Cottage_Cheese</c:v>
                </c:pt>
                <c:pt idx="98">
                  <c:v>Multigrain_Bread</c:v>
                </c:pt>
                <c:pt idx="99">
                  <c:v>Potato</c:v>
                </c:pt>
                <c:pt idx="100">
                  <c:v>Halibut</c:v>
                </c:pt>
                <c:pt idx="101">
                  <c:v>Flounder</c:v>
                </c:pt>
                <c:pt idx="102">
                  <c:v>Snapper</c:v>
                </c:pt>
                <c:pt idx="103">
                  <c:v>Catfish</c:v>
                </c:pt>
                <c:pt idx="104">
                  <c:v>Perch</c:v>
                </c:pt>
                <c:pt idx="105">
                  <c:v>Sea_Bass</c:v>
                </c:pt>
                <c:pt idx="106">
                  <c:v>Sardines</c:v>
                </c:pt>
                <c:pt idx="107">
                  <c:v>Herring</c:v>
                </c:pt>
                <c:pt idx="108">
                  <c:v>Anchovies</c:v>
                </c:pt>
                <c:pt idx="109">
                  <c:v>Octopus</c:v>
                </c:pt>
                <c:pt idx="110">
                  <c:v>Squid</c:v>
                </c:pt>
                <c:pt idx="111">
                  <c:v>Eel</c:v>
                </c:pt>
                <c:pt idx="112">
                  <c:v>Crayfish</c:v>
                </c:pt>
                <c:pt idx="113">
                  <c:v>Prawns</c:v>
                </c:pt>
                <c:pt idx="114">
                  <c:v>Clams</c:v>
                </c:pt>
                <c:pt idx="115">
                  <c:v>Oysters</c:v>
                </c:pt>
                <c:pt idx="116">
                  <c:v>Scallops</c:v>
                </c:pt>
                <c:pt idx="117">
                  <c:v>Mussels</c:v>
                </c:pt>
                <c:pt idx="118">
                  <c:v>Crab</c:v>
                </c:pt>
                <c:pt idx="119">
                  <c:v>Lobster</c:v>
                </c:pt>
                <c:pt idx="120">
                  <c:v>Shrimp</c:v>
                </c:pt>
              </c:strCache>
            </c:strRef>
          </c:xVal>
          <c:yVal>
            <c:numRef>
              <c:f>Sheet2!$E$108:$E$228</c:f>
              <c:numCache>
                <c:formatCode>0.00</c:formatCode>
                <c:ptCount val="121"/>
                <c:pt idx="0">
                  <c:v>69</c:v>
                </c:pt>
                <c:pt idx="1">
                  <c:v>56</c:v>
                </c:pt>
                <c:pt idx="2">
                  <c:v>39</c:v>
                </c:pt>
                <c:pt idx="3">
                  <c:v>60.666666666666664</c:v>
                </c:pt>
                <c:pt idx="4">
                  <c:v>57.75</c:v>
                </c:pt>
                <c:pt idx="5">
                  <c:v>61.333333333333336</c:v>
                </c:pt>
                <c:pt idx="6">
                  <c:v>22.5</c:v>
                </c:pt>
                <c:pt idx="7">
                  <c:v>48.666666666666664</c:v>
                </c:pt>
                <c:pt idx="8">
                  <c:v>81.333333333333329</c:v>
                </c:pt>
                <c:pt idx="9">
                  <c:v>51.428571428571431</c:v>
                </c:pt>
                <c:pt idx="10">
                  <c:v>41.5</c:v>
                </c:pt>
                <c:pt idx="11">
                  <c:v>47.6</c:v>
                </c:pt>
                <c:pt idx="12">
                  <c:v>37</c:v>
                </c:pt>
                <c:pt idx="13">
                  <c:v>51.666666666666664</c:v>
                </c:pt>
                <c:pt idx="14">
                  <c:v>36.666666666666664</c:v>
                </c:pt>
                <c:pt idx="15">
                  <c:v>39</c:v>
                </c:pt>
                <c:pt idx="16">
                  <c:v>49</c:v>
                </c:pt>
                <c:pt idx="17">
                  <c:v>78.333333333333329</c:v>
                </c:pt>
                <c:pt idx="18">
                  <c:v>63.285714285714285</c:v>
                </c:pt>
                <c:pt idx="19">
                  <c:v>51.25</c:v>
                </c:pt>
                <c:pt idx="20">
                  <c:v>35.5</c:v>
                </c:pt>
                <c:pt idx="21">
                  <c:v>62.666666666666664</c:v>
                </c:pt>
                <c:pt idx="22">
                  <c:v>72.166666666666671</c:v>
                </c:pt>
                <c:pt idx="23">
                  <c:v>41</c:v>
                </c:pt>
                <c:pt idx="24">
                  <c:v>50.4</c:v>
                </c:pt>
                <c:pt idx="25">
                  <c:v>63</c:v>
                </c:pt>
                <c:pt idx="26">
                  <c:v>50.833333333333336</c:v>
                </c:pt>
                <c:pt idx="27">
                  <c:v>36.5</c:v>
                </c:pt>
                <c:pt idx="28">
                  <c:v>64.666666666666671</c:v>
                </c:pt>
                <c:pt idx="29">
                  <c:v>45.25</c:v>
                </c:pt>
                <c:pt idx="30">
                  <c:v>36.5</c:v>
                </c:pt>
                <c:pt idx="31">
                  <c:v>48.333333333333336</c:v>
                </c:pt>
                <c:pt idx="32">
                  <c:v>78</c:v>
                </c:pt>
                <c:pt idx="33">
                  <c:v>55</c:v>
                </c:pt>
                <c:pt idx="34">
                  <c:v>62.8</c:v>
                </c:pt>
                <c:pt idx="35">
                  <c:v>45</c:v>
                </c:pt>
                <c:pt idx="36">
                  <c:v>85.166666666666671</c:v>
                </c:pt>
                <c:pt idx="37">
                  <c:v>70.333333333333329</c:v>
                </c:pt>
                <c:pt idx="38">
                  <c:v>59.375</c:v>
                </c:pt>
                <c:pt idx="39">
                  <c:v>55</c:v>
                </c:pt>
                <c:pt idx="40">
                  <c:v>51.6</c:v>
                </c:pt>
                <c:pt idx="41">
                  <c:v>46.333333333333336</c:v>
                </c:pt>
                <c:pt idx="42">
                  <c:v>59.2</c:v>
                </c:pt>
                <c:pt idx="43">
                  <c:v>39</c:v>
                </c:pt>
                <c:pt idx="44">
                  <c:v>44.375</c:v>
                </c:pt>
                <c:pt idx="45">
                  <c:v>76.2</c:v>
                </c:pt>
                <c:pt idx="46">
                  <c:v>57</c:v>
                </c:pt>
                <c:pt idx="47">
                  <c:v>53.666666666666664</c:v>
                </c:pt>
                <c:pt idx="48">
                  <c:v>46.75</c:v>
                </c:pt>
                <c:pt idx="49">
                  <c:v>56.75</c:v>
                </c:pt>
                <c:pt idx="50">
                  <c:v>67</c:v>
                </c:pt>
                <c:pt idx="51">
                  <c:v>87</c:v>
                </c:pt>
                <c:pt idx="52">
                  <c:v>49.333333333333336</c:v>
                </c:pt>
                <c:pt idx="53">
                  <c:v>56.833333333333336</c:v>
                </c:pt>
                <c:pt idx="54">
                  <c:v>33.428571428571431</c:v>
                </c:pt>
                <c:pt idx="55">
                  <c:v>68.75</c:v>
                </c:pt>
                <c:pt idx="56">
                  <c:v>61.666666666666664</c:v>
                </c:pt>
                <c:pt idx="57">
                  <c:v>65.666666666666671</c:v>
                </c:pt>
                <c:pt idx="58">
                  <c:v>49.142857142857146</c:v>
                </c:pt>
                <c:pt idx="59">
                  <c:v>60</c:v>
                </c:pt>
                <c:pt idx="60">
                  <c:v>71</c:v>
                </c:pt>
                <c:pt idx="61">
                  <c:v>49.6</c:v>
                </c:pt>
                <c:pt idx="62">
                  <c:v>59</c:v>
                </c:pt>
                <c:pt idx="63">
                  <c:v>54.25</c:v>
                </c:pt>
                <c:pt idx="64">
                  <c:v>81.285714285714292</c:v>
                </c:pt>
                <c:pt idx="65">
                  <c:v>56.25</c:v>
                </c:pt>
                <c:pt idx="66">
                  <c:v>57</c:v>
                </c:pt>
                <c:pt idx="67">
                  <c:v>54.875</c:v>
                </c:pt>
                <c:pt idx="68">
                  <c:v>50.333333333333336</c:v>
                </c:pt>
                <c:pt idx="69">
                  <c:v>53.166666666666664</c:v>
                </c:pt>
                <c:pt idx="70">
                  <c:v>58</c:v>
                </c:pt>
                <c:pt idx="71">
                  <c:v>58.222222222222221</c:v>
                </c:pt>
                <c:pt idx="72">
                  <c:v>62.666666666666664</c:v>
                </c:pt>
                <c:pt idx="73">
                  <c:v>77</c:v>
                </c:pt>
                <c:pt idx="74">
                  <c:v>52.5</c:v>
                </c:pt>
                <c:pt idx="75">
                  <c:v>42.666666666666664</c:v>
                </c:pt>
                <c:pt idx="76">
                  <c:v>66.25</c:v>
                </c:pt>
                <c:pt idx="77">
                  <c:v>53.75</c:v>
                </c:pt>
                <c:pt idx="78">
                  <c:v>53.2</c:v>
                </c:pt>
                <c:pt idx="79">
                  <c:v>56</c:v>
                </c:pt>
                <c:pt idx="80">
                  <c:v>53.75</c:v>
                </c:pt>
                <c:pt idx="81">
                  <c:v>42.25</c:v>
                </c:pt>
                <c:pt idx="82">
                  <c:v>41.166666666666664</c:v>
                </c:pt>
                <c:pt idx="83">
                  <c:v>70</c:v>
                </c:pt>
                <c:pt idx="84">
                  <c:v>0</c:v>
                </c:pt>
                <c:pt idx="85">
                  <c:v>53.8</c:v>
                </c:pt>
                <c:pt idx="86">
                  <c:v>68.333333333333329</c:v>
                </c:pt>
                <c:pt idx="87">
                  <c:v>65</c:v>
                </c:pt>
                <c:pt idx="88">
                  <c:v>56.6</c:v>
                </c:pt>
                <c:pt idx="89">
                  <c:v>63.333333333333336</c:v>
                </c:pt>
                <c:pt idx="90">
                  <c:v>48.333333333333336</c:v>
                </c:pt>
                <c:pt idx="91">
                  <c:v>67.333333333333329</c:v>
                </c:pt>
                <c:pt idx="92">
                  <c:v>40.428571428571431</c:v>
                </c:pt>
                <c:pt idx="93">
                  <c:v>55.8</c:v>
                </c:pt>
                <c:pt idx="94">
                  <c:v>51.25</c:v>
                </c:pt>
                <c:pt idx="95">
                  <c:v>81.666666666666671</c:v>
                </c:pt>
                <c:pt idx="96">
                  <c:v>48.166666666666664</c:v>
                </c:pt>
                <c:pt idx="97">
                  <c:v>57</c:v>
                </c:pt>
                <c:pt idx="98">
                  <c:v>45.666666666666664</c:v>
                </c:pt>
                <c:pt idx="99">
                  <c:v>56.5</c:v>
                </c:pt>
                <c:pt idx="100">
                  <c:v>18</c:v>
                </c:pt>
                <c:pt idx="101">
                  <c:v>44.333333333333336</c:v>
                </c:pt>
                <c:pt idx="102">
                  <c:v>55</c:v>
                </c:pt>
                <c:pt idx="103">
                  <c:v>36</c:v>
                </c:pt>
                <c:pt idx="104">
                  <c:v>24</c:v>
                </c:pt>
                <c:pt idx="105">
                  <c:v>48.25</c:v>
                </c:pt>
                <c:pt idx="106">
                  <c:v>71.666666666666671</c:v>
                </c:pt>
                <c:pt idx="107">
                  <c:v>73.166666666666671</c:v>
                </c:pt>
                <c:pt idx="108">
                  <c:v>48.25</c:v>
                </c:pt>
                <c:pt idx="109">
                  <c:v>43.6</c:v>
                </c:pt>
                <c:pt idx="110">
                  <c:v>81</c:v>
                </c:pt>
                <c:pt idx="111">
                  <c:v>36.333333333333336</c:v>
                </c:pt>
                <c:pt idx="112">
                  <c:v>70</c:v>
                </c:pt>
                <c:pt idx="113">
                  <c:v>44</c:v>
                </c:pt>
                <c:pt idx="114">
                  <c:v>0</c:v>
                </c:pt>
                <c:pt idx="115">
                  <c:v>55.8</c:v>
                </c:pt>
                <c:pt idx="116">
                  <c:v>55</c:v>
                </c:pt>
                <c:pt idx="117">
                  <c:v>61.25</c:v>
                </c:pt>
                <c:pt idx="118">
                  <c:v>31.75</c:v>
                </c:pt>
                <c:pt idx="119">
                  <c:v>57.6</c:v>
                </c:pt>
                <c:pt idx="120">
                  <c:v>74.666666666666671</c:v>
                </c:pt>
              </c:numCache>
            </c:numRef>
          </c:yVal>
          <c:smooth val="0"/>
          <c:extLst>
            <c:ext xmlns:c16="http://schemas.microsoft.com/office/drawing/2014/chart" uri="{C3380CC4-5D6E-409C-BE32-E72D297353CC}">
              <c16:uniqueId val="{00000000-D93D-4A77-BF81-5CE0DF0F13E3}"/>
            </c:ext>
          </c:extLst>
        </c:ser>
        <c:ser>
          <c:idx val="1"/>
          <c:order val="1"/>
          <c:tx>
            <c:strRef>
              <c:f>Sheet2!$F$107</c:f>
              <c:strCache>
                <c:ptCount val="1"/>
                <c:pt idx="0">
                  <c:v>Unit_Cost</c:v>
                </c:pt>
              </c:strCache>
            </c:strRef>
          </c:tx>
          <c:spPr>
            <a:ln w="19050" cap="rnd">
              <a:noFill/>
              <a:round/>
            </a:ln>
            <a:effectLst/>
          </c:spPr>
          <c:marker>
            <c:symbol val="circle"/>
            <c:size val="5"/>
            <c:spPr>
              <a:solidFill>
                <a:schemeClr val="accent2"/>
              </a:solidFill>
              <a:ln w="9525">
                <a:solidFill>
                  <a:schemeClr val="accent2"/>
                </a:solidFill>
              </a:ln>
              <a:effectLst/>
            </c:spPr>
          </c:marker>
          <c:xVal>
            <c:strRef>
              <c:f>Sheet2!$D$108:$D$228</c:f>
              <c:strCache>
                <c:ptCount val="121"/>
                <c:pt idx="0">
                  <c:v>Bell_Pepper</c:v>
                </c:pt>
                <c:pt idx="1">
                  <c:v>Vegetable_Oil</c:v>
                </c:pt>
                <c:pt idx="2">
                  <c:v>Parmesan_Cheese</c:v>
                </c:pt>
                <c:pt idx="3">
                  <c:v>Carrot</c:v>
                </c:pt>
                <c:pt idx="4">
                  <c:v>Garlic</c:v>
                </c:pt>
                <c:pt idx="5">
                  <c:v>Lemon</c:v>
                </c:pt>
                <c:pt idx="6">
                  <c:v>Coconut_Sugar</c:v>
                </c:pt>
                <c:pt idx="7">
                  <c:v>Anchovies</c:v>
                </c:pt>
                <c:pt idx="8">
                  <c:v>Cheese</c:v>
                </c:pt>
                <c:pt idx="9">
                  <c:v>Yogurt</c:v>
                </c:pt>
                <c:pt idx="10">
                  <c:v>Cheddar_Cheese</c:v>
                </c:pt>
                <c:pt idx="11">
                  <c:v>Avocado_Oil</c:v>
                </c:pt>
                <c:pt idx="12">
                  <c:v>Orange</c:v>
                </c:pt>
                <c:pt idx="13">
                  <c:v>Digestive_Biscuit</c:v>
                </c:pt>
                <c:pt idx="14">
                  <c:v>Cauliflower</c:v>
                </c:pt>
                <c:pt idx="15">
                  <c:v>Pear</c:v>
                </c:pt>
                <c:pt idx="16">
                  <c:v>Egg_(Turkey)</c:v>
                </c:pt>
                <c:pt idx="17">
                  <c:v>Ricotta_Cheese</c:v>
                </c:pt>
                <c:pt idx="18">
                  <c:v>Eggplant</c:v>
                </c:pt>
                <c:pt idx="19">
                  <c:v>Whole_Wheat_Flour</c:v>
                </c:pt>
                <c:pt idx="20">
                  <c:v>Tilapia</c:v>
                </c:pt>
                <c:pt idx="21">
                  <c:v>Grapeseed_Oil</c:v>
                </c:pt>
                <c:pt idx="22">
                  <c:v>Almond_Milk</c:v>
                </c:pt>
                <c:pt idx="23">
                  <c:v>Broccoli</c:v>
                </c:pt>
                <c:pt idx="24">
                  <c:v>Pumpernickel_Bread</c:v>
                </c:pt>
                <c:pt idx="25">
                  <c:v>Swordfish</c:v>
                </c:pt>
                <c:pt idx="26">
                  <c:v>Mackerel</c:v>
                </c:pt>
                <c:pt idx="27">
                  <c:v>Baguette</c:v>
                </c:pt>
                <c:pt idx="28">
                  <c:v>Green_Tea</c:v>
                </c:pt>
                <c:pt idx="29">
                  <c:v>Lobster</c:v>
                </c:pt>
                <c:pt idx="30">
                  <c:v>Rye_Bread</c:v>
                </c:pt>
                <c:pt idx="31">
                  <c:v>Lentils</c:v>
                </c:pt>
                <c:pt idx="32">
                  <c:v>Greek_Yogurt</c:v>
                </c:pt>
                <c:pt idx="33">
                  <c:v>Soda</c:v>
                </c:pt>
                <c:pt idx="34">
                  <c:v>Butter</c:v>
                </c:pt>
                <c:pt idx="35">
                  <c:v>Salmon</c:v>
                </c:pt>
                <c:pt idx="36">
                  <c:v>Milk</c:v>
                </c:pt>
                <c:pt idx="37">
                  <c:v>Shrimp</c:v>
                </c:pt>
                <c:pt idx="38">
                  <c:v>Tuna</c:v>
                </c:pt>
                <c:pt idx="39">
                  <c:v>Scallops</c:v>
                </c:pt>
                <c:pt idx="40">
                  <c:v>Crab</c:v>
                </c:pt>
                <c:pt idx="41">
                  <c:v>Brown_Rice</c:v>
                </c:pt>
                <c:pt idx="42">
                  <c:v>Sourdough_Bread</c:v>
                </c:pt>
                <c:pt idx="43">
                  <c:v>Clams</c:v>
                </c:pt>
                <c:pt idx="44">
                  <c:v>Mussels</c:v>
                </c:pt>
                <c:pt idx="45">
                  <c:v>Oysters</c:v>
                </c:pt>
                <c:pt idx="46">
                  <c:v>White_Bread</c:v>
                </c:pt>
                <c:pt idx="47">
                  <c:v>Trout</c:v>
                </c:pt>
                <c:pt idx="48">
                  <c:v>Coffee_Beans</c:v>
                </c:pt>
                <c:pt idx="49">
                  <c:v>Juice</c:v>
                </c:pt>
                <c:pt idx="50">
                  <c:v>Sparkling_Water</c:v>
                </c:pt>
                <c:pt idx="51">
                  <c:v>Corn_Oil</c:v>
                </c:pt>
                <c:pt idx="52">
                  <c:v>Sunflower_Oil</c:v>
                </c:pt>
                <c:pt idx="53">
                  <c:v>Brie_Cheese</c:v>
                </c:pt>
                <c:pt idx="54">
                  <c:v>Mozzarella_Cheese</c:v>
                </c:pt>
                <c:pt idx="55">
                  <c:v>Blue_Cheese</c:v>
                </c:pt>
                <c:pt idx="56">
                  <c:v>Feta_Cheese</c:v>
                </c:pt>
                <c:pt idx="57">
                  <c:v>Swiss_Cheese</c:v>
                </c:pt>
                <c:pt idx="58">
                  <c:v>Soy_Milk</c:v>
                </c:pt>
                <c:pt idx="59">
                  <c:v>Oat_Milk</c:v>
                </c:pt>
                <c:pt idx="60">
                  <c:v>Cream</c:v>
                </c:pt>
                <c:pt idx="61">
                  <c:v>Sour_Cream</c:v>
                </c:pt>
                <c:pt idx="62">
                  <c:v>Cream_Cheese</c:v>
                </c:pt>
                <c:pt idx="63">
                  <c:v>Whipped_Cream</c:v>
                </c:pt>
                <c:pt idx="64">
                  <c:v>Evaporated_Milk</c:v>
                </c:pt>
                <c:pt idx="65">
                  <c:v>Condensed_Milk</c:v>
                </c:pt>
                <c:pt idx="66">
                  <c:v>Ice_Cream</c:v>
                </c:pt>
                <c:pt idx="67">
                  <c:v>Butter_Milk</c:v>
                </c:pt>
                <c:pt idx="68">
                  <c:v>Ghee</c:v>
                </c:pt>
                <c:pt idx="69">
                  <c:v>Margarine</c:v>
                </c:pt>
                <c:pt idx="70">
                  <c:v>Peanut_Oil</c:v>
                </c:pt>
                <c:pt idx="71">
                  <c:v>Sesame_Oil</c:v>
                </c:pt>
                <c:pt idx="72">
                  <c:v>Palm_Oil</c:v>
                </c:pt>
                <c:pt idx="73">
                  <c:v>Flaxseed_Oil</c:v>
                </c:pt>
                <c:pt idx="74">
                  <c:v>Lard</c:v>
                </c:pt>
                <c:pt idx="75">
                  <c:v>Shortening</c:v>
                </c:pt>
                <c:pt idx="76">
                  <c:v>Extra_Virgin_Olive_Oil</c:v>
                </c:pt>
                <c:pt idx="77">
                  <c:v>Honey</c:v>
                </c:pt>
                <c:pt idx="78">
                  <c:v>Maple_Syrup</c:v>
                </c:pt>
                <c:pt idx="79">
                  <c:v>Egg_(Quail)</c:v>
                </c:pt>
                <c:pt idx="80">
                  <c:v>Herbal_Tea</c:v>
                </c:pt>
                <c:pt idx="81">
                  <c:v>Coconut_Oil</c:v>
                </c:pt>
                <c:pt idx="82">
                  <c:v>Buttermilk</c:v>
                </c:pt>
                <c:pt idx="83">
                  <c:v>Evaporated_Milk</c:v>
                </c:pt>
                <c:pt idx="84">
                  <c:v>Powdered_Sugar</c:v>
                </c:pt>
                <c:pt idx="85">
                  <c:v>Cod</c:v>
                </c:pt>
                <c:pt idx="86">
                  <c:v>Kiwi</c:v>
                </c:pt>
                <c:pt idx="87">
                  <c:v>Haddock</c:v>
                </c:pt>
                <c:pt idx="88">
                  <c:v>Tomato</c:v>
                </c:pt>
                <c:pt idx="89">
                  <c:v>Gouda_Cheese</c:v>
                </c:pt>
                <c:pt idx="90">
                  <c:v>Spinach</c:v>
                </c:pt>
                <c:pt idx="91">
                  <c:v>Canola_Oil</c:v>
                </c:pt>
                <c:pt idx="92">
                  <c:v>Basmati_Rice</c:v>
                </c:pt>
                <c:pt idx="93">
                  <c:v>Oatmeal_Biscuit</c:v>
                </c:pt>
                <c:pt idx="94">
                  <c:v>Green_Beans</c:v>
                </c:pt>
                <c:pt idx="95">
                  <c:v>Apple</c:v>
                </c:pt>
                <c:pt idx="96">
                  <c:v>Peas</c:v>
                </c:pt>
                <c:pt idx="97">
                  <c:v>Cottage_Cheese</c:v>
                </c:pt>
                <c:pt idx="98">
                  <c:v>Multigrain_Bread</c:v>
                </c:pt>
                <c:pt idx="99">
                  <c:v>Potato</c:v>
                </c:pt>
                <c:pt idx="100">
                  <c:v>Halibut</c:v>
                </c:pt>
                <c:pt idx="101">
                  <c:v>Flounder</c:v>
                </c:pt>
                <c:pt idx="102">
                  <c:v>Snapper</c:v>
                </c:pt>
                <c:pt idx="103">
                  <c:v>Catfish</c:v>
                </c:pt>
                <c:pt idx="104">
                  <c:v>Perch</c:v>
                </c:pt>
                <c:pt idx="105">
                  <c:v>Sea_Bass</c:v>
                </c:pt>
                <c:pt idx="106">
                  <c:v>Sardines</c:v>
                </c:pt>
                <c:pt idx="107">
                  <c:v>Herring</c:v>
                </c:pt>
                <c:pt idx="108">
                  <c:v>Anchovies</c:v>
                </c:pt>
                <c:pt idx="109">
                  <c:v>Octopus</c:v>
                </c:pt>
                <c:pt idx="110">
                  <c:v>Squid</c:v>
                </c:pt>
                <c:pt idx="111">
                  <c:v>Eel</c:v>
                </c:pt>
                <c:pt idx="112">
                  <c:v>Crayfish</c:v>
                </c:pt>
                <c:pt idx="113">
                  <c:v>Prawns</c:v>
                </c:pt>
                <c:pt idx="114">
                  <c:v>Clams</c:v>
                </c:pt>
                <c:pt idx="115">
                  <c:v>Oysters</c:v>
                </c:pt>
                <c:pt idx="116">
                  <c:v>Scallops</c:v>
                </c:pt>
                <c:pt idx="117">
                  <c:v>Mussels</c:v>
                </c:pt>
                <c:pt idx="118">
                  <c:v>Crab</c:v>
                </c:pt>
                <c:pt idx="119">
                  <c:v>Lobster</c:v>
                </c:pt>
                <c:pt idx="120">
                  <c:v>Shrimp</c:v>
                </c:pt>
              </c:strCache>
            </c:strRef>
          </c:xVal>
          <c:yVal>
            <c:numRef>
              <c:f>Sheet2!$F$108:$F$228</c:f>
              <c:numCache>
                <c:formatCode>General</c:formatCode>
                <c:ptCount val="121"/>
                <c:pt idx="0">
                  <c:v>1.86</c:v>
                </c:pt>
                <c:pt idx="1">
                  <c:v>12.79</c:v>
                </c:pt>
                <c:pt idx="2">
                  <c:v>10.029999999999999</c:v>
                </c:pt>
                <c:pt idx="3">
                  <c:v>4.25</c:v>
                </c:pt>
                <c:pt idx="4">
                  <c:v>2.69</c:v>
                </c:pt>
                <c:pt idx="5">
                  <c:v>3.15</c:v>
                </c:pt>
                <c:pt idx="6">
                  <c:v>4.82</c:v>
                </c:pt>
                <c:pt idx="7">
                  <c:v>32.450000000000003</c:v>
                </c:pt>
                <c:pt idx="8">
                  <c:v>12.5</c:v>
                </c:pt>
                <c:pt idx="9">
                  <c:v>4.75</c:v>
                </c:pt>
                <c:pt idx="10">
                  <c:v>8.9</c:v>
                </c:pt>
                <c:pt idx="11">
                  <c:v>22.3</c:v>
                </c:pt>
                <c:pt idx="12">
                  <c:v>2.4</c:v>
                </c:pt>
                <c:pt idx="13">
                  <c:v>3.5</c:v>
                </c:pt>
                <c:pt idx="14">
                  <c:v>2.1</c:v>
                </c:pt>
                <c:pt idx="15">
                  <c:v>3.8</c:v>
                </c:pt>
                <c:pt idx="16">
                  <c:v>6.5</c:v>
                </c:pt>
                <c:pt idx="17">
                  <c:v>9.1999999999999993</c:v>
                </c:pt>
                <c:pt idx="18">
                  <c:v>2.75</c:v>
                </c:pt>
                <c:pt idx="19">
                  <c:v>5.4</c:v>
                </c:pt>
                <c:pt idx="20">
                  <c:v>15.6</c:v>
                </c:pt>
                <c:pt idx="21">
                  <c:v>18.399999999999999</c:v>
                </c:pt>
                <c:pt idx="22">
                  <c:v>4.2</c:v>
                </c:pt>
                <c:pt idx="23">
                  <c:v>2.9</c:v>
                </c:pt>
                <c:pt idx="24">
                  <c:v>5.0999999999999996</c:v>
                </c:pt>
                <c:pt idx="25">
                  <c:v>38.200000000000003</c:v>
                </c:pt>
                <c:pt idx="26">
                  <c:v>22.5</c:v>
                </c:pt>
                <c:pt idx="27">
                  <c:v>2.2000000000000002</c:v>
                </c:pt>
                <c:pt idx="28">
                  <c:v>12.4</c:v>
                </c:pt>
                <c:pt idx="29">
                  <c:v>44.9</c:v>
                </c:pt>
                <c:pt idx="30">
                  <c:v>4.5</c:v>
                </c:pt>
                <c:pt idx="31">
                  <c:v>3.2</c:v>
                </c:pt>
                <c:pt idx="32">
                  <c:v>5.8</c:v>
                </c:pt>
                <c:pt idx="33">
                  <c:v>2.5</c:v>
                </c:pt>
                <c:pt idx="34">
                  <c:v>7.1</c:v>
                </c:pt>
                <c:pt idx="35">
                  <c:v>28.5</c:v>
                </c:pt>
                <c:pt idx="36">
                  <c:v>3.95</c:v>
                </c:pt>
                <c:pt idx="37">
                  <c:v>19.8</c:v>
                </c:pt>
                <c:pt idx="38">
                  <c:v>24.3</c:v>
                </c:pt>
                <c:pt idx="39">
                  <c:v>35.6</c:v>
                </c:pt>
                <c:pt idx="40">
                  <c:v>42.1</c:v>
                </c:pt>
                <c:pt idx="41">
                  <c:v>4.0999999999999996</c:v>
                </c:pt>
                <c:pt idx="42">
                  <c:v>6.2</c:v>
                </c:pt>
                <c:pt idx="43">
                  <c:v>14.5</c:v>
                </c:pt>
                <c:pt idx="44">
                  <c:v>12.8</c:v>
                </c:pt>
                <c:pt idx="45">
                  <c:v>30.4</c:v>
                </c:pt>
                <c:pt idx="46">
                  <c:v>2.5</c:v>
                </c:pt>
                <c:pt idx="47">
                  <c:v>18.899999999999999</c:v>
                </c:pt>
                <c:pt idx="48">
                  <c:v>15.2</c:v>
                </c:pt>
                <c:pt idx="49">
                  <c:v>4.8</c:v>
                </c:pt>
                <c:pt idx="50">
                  <c:v>3.2</c:v>
                </c:pt>
                <c:pt idx="51">
                  <c:v>9.4</c:v>
                </c:pt>
                <c:pt idx="52">
                  <c:v>11.2</c:v>
                </c:pt>
                <c:pt idx="53">
                  <c:v>14.3</c:v>
                </c:pt>
                <c:pt idx="54">
                  <c:v>8.5</c:v>
                </c:pt>
                <c:pt idx="55">
                  <c:v>15.7</c:v>
                </c:pt>
                <c:pt idx="56">
                  <c:v>9.8000000000000007</c:v>
                </c:pt>
                <c:pt idx="57">
                  <c:v>11.4</c:v>
                </c:pt>
                <c:pt idx="58">
                  <c:v>3.85</c:v>
                </c:pt>
                <c:pt idx="59">
                  <c:v>4.4000000000000004</c:v>
                </c:pt>
                <c:pt idx="60">
                  <c:v>5.2</c:v>
                </c:pt>
                <c:pt idx="61">
                  <c:v>4.0999999999999996</c:v>
                </c:pt>
                <c:pt idx="62">
                  <c:v>6.5</c:v>
                </c:pt>
                <c:pt idx="63">
                  <c:v>3.5</c:v>
                </c:pt>
                <c:pt idx="64">
                  <c:v>2.9</c:v>
                </c:pt>
                <c:pt idx="65">
                  <c:v>3.2</c:v>
                </c:pt>
                <c:pt idx="66">
                  <c:v>6.8</c:v>
                </c:pt>
                <c:pt idx="67">
                  <c:v>2.5</c:v>
                </c:pt>
                <c:pt idx="68">
                  <c:v>18.2</c:v>
                </c:pt>
                <c:pt idx="69">
                  <c:v>4.5</c:v>
                </c:pt>
                <c:pt idx="70">
                  <c:v>13.4</c:v>
                </c:pt>
                <c:pt idx="71">
                  <c:v>21.1</c:v>
                </c:pt>
                <c:pt idx="72">
                  <c:v>7.8</c:v>
                </c:pt>
                <c:pt idx="73">
                  <c:v>16.5</c:v>
                </c:pt>
                <c:pt idx="74">
                  <c:v>5.2</c:v>
                </c:pt>
                <c:pt idx="75">
                  <c:v>6.4</c:v>
                </c:pt>
                <c:pt idx="76">
                  <c:v>24.8</c:v>
                </c:pt>
                <c:pt idx="77">
                  <c:v>12.4</c:v>
                </c:pt>
                <c:pt idx="78">
                  <c:v>15.6</c:v>
                </c:pt>
                <c:pt idx="79">
                  <c:v>8.1999999999999993</c:v>
                </c:pt>
                <c:pt idx="80">
                  <c:v>9.5</c:v>
                </c:pt>
                <c:pt idx="81">
                  <c:v>14.2</c:v>
                </c:pt>
                <c:pt idx="82">
                  <c:v>2.8</c:v>
                </c:pt>
                <c:pt idx="83">
                  <c:v>3.1</c:v>
                </c:pt>
                <c:pt idx="84">
                  <c:v>2.5</c:v>
                </c:pt>
                <c:pt idx="85">
                  <c:v>22.4</c:v>
                </c:pt>
                <c:pt idx="86">
                  <c:v>4.2</c:v>
                </c:pt>
                <c:pt idx="87">
                  <c:v>19.5</c:v>
                </c:pt>
                <c:pt idx="88">
                  <c:v>2.1</c:v>
                </c:pt>
                <c:pt idx="89">
                  <c:v>11.8</c:v>
                </c:pt>
                <c:pt idx="90">
                  <c:v>2.5</c:v>
                </c:pt>
                <c:pt idx="91">
                  <c:v>8.9</c:v>
                </c:pt>
                <c:pt idx="92">
                  <c:v>7.2</c:v>
                </c:pt>
                <c:pt idx="93">
                  <c:v>4.8</c:v>
                </c:pt>
                <c:pt idx="94">
                  <c:v>2.9</c:v>
                </c:pt>
                <c:pt idx="95">
                  <c:v>3.2</c:v>
                </c:pt>
                <c:pt idx="96">
                  <c:v>2.15</c:v>
                </c:pt>
                <c:pt idx="97">
                  <c:v>5.4</c:v>
                </c:pt>
                <c:pt idx="98">
                  <c:v>5.8</c:v>
                </c:pt>
                <c:pt idx="99">
                  <c:v>1.5</c:v>
                </c:pt>
                <c:pt idx="100">
                  <c:v>34.200000000000003</c:v>
                </c:pt>
                <c:pt idx="101">
                  <c:v>21.5</c:v>
                </c:pt>
                <c:pt idx="102">
                  <c:v>26.8</c:v>
                </c:pt>
                <c:pt idx="103">
                  <c:v>14.2</c:v>
                </c:pt>
                <c:pt idx="104">
                  <c:v>16.5</c:v>
                </c:pt>
                <c:pt idx="105">
                  <c:v>31.4</c:v>
                </c:pt>
                <c:pt idx="106">
                  <c:v>10.199999999999999</c:v>
                </c:pt>
                <c:pt idx="107">
                  <c:v>11.5</c:v>
                </c:pt>
                <c:pt idx="108">
                  <c:v>28.4</c:v>
                </c:pt>
                <c:pt idx="109">
                  <c:v>36.5</c:v>
                </c:pt>
                <c:pt idx="110">
                  <c:v>15.8</c:v>
                </c:pt>
                <c:pt idx="111">
                  <c:v>41.2</c:v>
                </c:pt>
                <c:pt idx="112">
                  <c:v>22.4</c:v>
                </c:pt>
                <c:pt idx="113">
                  <c:v>25.6</c:v>
                </c:pt>
                <c:pt idx="114">
                  <c:v>18.399999999999999</c:v>
                </c:pt>
                <c:pt idx="115">
                  <c:v>32.799999999999997</c:v>
                </c:pt>
                <c:pt idx="116">
                  <c:v>38.5</c:v>
                </c:pt>
                <c:pt idx="117">
                  <c:v>14.5</c:v>
                </c:pt>
                <c:pt idx="118">
                  <c:v>44.2</c:v>
                </c:pt>
                <c:pt idx="119">
                  <c:v>48.5</c:v>
                </c:pt>
                <c:pt idx="120">
                  <c:v>23.5</c:v>
                </c:pt>
              </c:numCache>
            </c:numRef>
          </c:yVal>
          <c:smooth val="0"/>
          <c:extLst>
            <c:ext xmlns:c16="http://schemas.microsoft.com/office/drawing/2014/chart" uri="{C3380CC4-5D6E-409C-BE32-E72D297353CC}">
              <c16:uniqueId val="{00000001-D93D-4A77-BF81-5CE0DF0F13E3}"/>
            </c:ext>
          </c:extLst>
        </c:ser>
        <c:dLbls>
          <c:showLegendKey val="0"/>
          <c:showVal val="0"/>
          <c:showCatName val="0"/>
          <c:showSerName val="0"/>
          <c:showPercent val="0"/>
          <c:showBubbleSize val="0"/>
        </c:dLbls>
        <c:axId val="1170832719"/>
        <c:axId val="1170833199"/>
      </c:scatterChart>
      <c:valAx>
        <c:axId val="1170832719"/>
        <c:scaling>
          <c:orientation val="minMax"/>
        </c:scaling>
        <c:delete val="0"/>
        <c:axPos val="b"/>
        <c:majorGridlines>
          <c:spPr>
            <a:ln w="9525" cap="flat" cmpd="sng" algn="ctr">
              <a:solidFill>
                <a:schemeClr val="tx1">
                  <a:lumMod val="15000"/>
                  <a:lumOff val="85000"/>
                </a:schemeClr>
              </a:solidFill>
              <a:round/>
            </a:ln>
            <a:effectLst/>
          </c:spPr>
        </c:majorGridlines>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70833199"/>
        <c:crosses val="autoZero"/>
        <c:crossBetween val="midCat"/>
      </c:valAx>
      <c:valAx>
        <c:axId val="1170833199"/>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70832719"/>
        <c:crosses val="autoZero"/>
        <c:crossBetween val="midCat"/>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1" i="0" u="none" strike="noStrike" baseline="0"/>
              <a:t>Fast-Moving vs Slow-Moving Products</a:t>
            </a:r>
            <a:endParaRPr lang="en-US"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0.16645401023277492"/>
          <c:y val="0.16747159464623343"/>
          <c:w val="0.76844349865937156"/>
          <c:h val="0.63203520919950196"/>
        </c:manualLayout>
      </c:layout>
      <c:scatterChart>
        <c:scatterStyle val="lineMarker"/>
        <c:varyColors val="0"/>
        <c:ser>
          <c:idx val="0"/>
          <c:order val="0"/>
          <c:tx>
            <c:strRef>
              <c:f>Sheet2!$F$107</c:f>
              <c:strCache>
                <c:ptCount val="1"/>
                <c:pt idx="0">
                  <c:v>Unit_Cost</c:v>
                </c:pt>
              </c:strCache>
            </c:strRef>
          </c:tx>
          <c:spPr>
            <a:ln w="19050" cap="rnd">
              <a:noFill/>
              <a:round/>
            </a:ln>
            <a:effectLst/>
          </c:spPr>
          <c:marker>
            <c:symbol val="circle"/>
            <c:size val="5"/>
            <c:spPr>
              <a:solidFill>
                <a:schemeClr val="accent4"/>
              </a:solidFill>
              <a:ln w="9525">
                <a:solidFill>
                  <a:schemeClr val="accent4"/>
                </a:solidFill>
              </a:ln>
              <a:effectLst/>
            </c:spPr>
          </c:marker>
          <c:dPt>
            <c:idx val="16"/>
            <c:marker>
              <c:symbol val="circle"/>
              <c:size val="5"/>
              <c:spPr>
                <a:solidFill>
                  <a:schemeClr val="accent4"/>
                </a:solidFill>
                <a:ln w="9525">
                  <a:solidFill>
                    <a:schemeClr val="accent4"/>
                  </a:solidFill>
                </a:ln>
                <a:effectLst>
                  <a:outerShdw blurRad="50800" dist="50800" dir="5400000" algn="ctr" rotWithShape="0">
                    <a:schemeClr val="accent4">
                      <a:lumMod val="60000"/>
                      <a:lumOff val="40000"/>
                      <a:alpha val="1000"/>
                    </a:schemeClr>
                  </a:outerShdw>
                </a:effectLst>
              </c:spPr>
            </c:marker>
            <c:bubble3D val="0"/>
            <c:spPr>
              <a:ln w="19050" cap="rnd">
                <a:noFill/>
                <a:round/>
              </a:ln>
              <a:effectLst>
                <a:outerShdw blurRad="50800" dist="50800" dir="5400000" algn="ctr" rotWithShape="0">
                  <a:schemeClr val="accent4">
                    <a:lumMod val="60000"/>
                    <a:lumOff val="40000"/>
                    <a:alpha val="1000"/>
                  </a:schemeClr>
                </a:outerShdw>
              </a:effectLst>
            </c:spPr>
            <c:extLst>
              <c:ext xmlns:c16="http://schemas.microsoft.com/office/drawing/2014/chart" uri="{C3380CC4-5D6E-409C-BE32-E72D297353CC}">
                <c16:uniqueId val="{00000001-34BB-4AC0-8175-DC64298CAB4A}"/>
              </c:ext>
            </c:extLst>
          </c:dPt>
          <c:dPt>
            <c:idx val="74"/>
            <c:marker>
              <c:symbol val="circle"/>
              <c:size val="5"/>
              <c:spPr>
                <a:solidFill>
                  <a:schemeClr val="accent4"/>
                </a:solidFill>
                <a:ln w="9525">
                  <a:solidFill>
                    <a:schemeClr val="accent4"/>
                  </a:solidFill>
                </a:ln>
                <a:effectLst/>
              </c:spPr>
            </c:marker>
            <c:bubble3D val="0"/>
            <c:spPr>
              <a:ln w="19050" cap="rnd">
                <a:solidFill>
                  <a:schemeClr val="accent1"/>
                </a:solidFill>
                <a:round/>
              </a:ln>
              <a:effectLst/>
            </c:spPr>
            <c:extLst>
              <c:ext xmlns:c16="http://schemas.microsoft.com/office/drawing/2014/chart" uri="{C3380CC4-5D6E-409C-BE32-E72D297353CC}">
                <c16:uniqueId val="{00000003-FDB9-4190-96B8-800A5563D59D}"/>
              </c:ext>
            </c:extLst>
          </c:dPt>
          <c:dPt>
            <c:idx val="76"/>
            <c:marker>
              <c:symbol val="circle"/>
              <c:size val="5"/>
              <c:spPr>
                <a:solidFill>
                  <a:schemeClr val="accent1">
                    <a:lumMod val="75000"/>
                  </a:schemeClr>
                </a:solidFill>
                <a:ln w="9525">
                  <a:solidFill>
                    <a:schemeClr val="accent4"/>
                  </a:solidFill>
                </a:ln>
                <a:effectLst/>
              </c:spPr>
            </c:marker>
            <c:bubble3D val="0"/>
            <c:extLst>
              <c:ext xmlns:c16="http://schemas.microsoft.com/office/drawing/2014/chart" uri="{C3380CC4-5D6E-409C-BE32-E72D297353CC}">
                <c16:uniqueId val="{00000002-FDB9-4190-96B8-800A5563D59D}"/>
              </c:ext>
            </c:extLst>
          </c:dPt>
          <c:xVal>
            <c:numRef>
              <c:f>Sheet2!$E$108:$E$228</c:f>
              <c:numCache>
                <c:formatCode>0.00</c:formatCode>
                <c:ptCount val="121"/>
                <c:pt idx="0">
                  <c:v>69</c:v>
                </c:pt>
                <c:pt idx="1">
                  <c:v>56</c:v>
                </c:pt>
                <c:pt idx="2">
                  <c:v>39</c:v>
                </c:pt>
                <c:pt idx="3">
                  <c:v>60.666666666666664</c:v>
                </c:pt>
                <c:pt idx="4">
                  <c:v>57.75</c:v>
                </c:pt>
                <c:pt idx="5">
                  <c:v>61.333333333333336</c:v>
                </c:pt>
                <c:pt idx="6">
                  <c:v>22.5</c:v>
                </c:pt>
                <c:pt idx="7">
                  <c:v>48.666666666666664</c:v>
                </c:pt>
                <c:pt idx="8">
                  <c:v>81.333333333333329</c:v>
                </c:pt>
                <c:pt idx="9">
                  <c:v>51.428571428571431</c:v>
                </c:pt>
                <c:pt idx="10">
                  <c:v>41.5</c:v>
                </c:pt>
                <c:pt idx="11">
                  <c:v>47.6</c:v>
                </c:pt>
                <c:pt idx="12">
                  <c:v>37</c:v>
                </c:pt>
                <c:pt idx="13">
                  <c:v>51.666666666666664</c:v>
                </c:pt>
                <c:pt idx="14">
                  <c:v>36.666666666666664</c:v>
                </c:pt>
                <c:pt idx="15">
                  <c:v>39</c:v>
                </c:pt>
                <c:pt idx="16">
                  <c:v>49</c:v>
                </c:pt>
                <c:pt idx="17">
                  <c:v>78.333333333333329</c:v>
                </c:pt>
                <c:pt idx="18">
                  <c:v>63.285714285714285</c:v>
                </c:pt>
                <c:pt idx="19">
                  <c:v>51.25</c:v>
                </c:pt>
                <c:pt idx="20">
                  <c:v>35.5</c:v>
                </c:pt>
                <c:pt idx="21">
                  <c:v>62.666666666666664</c:v>
                </c:pt>
                <c:pt idx="22">
                  <c:v>72.166666666666671</c:v>
                </c:pt>
                <c:pt idx="23">
                  <c:v>41</c:v>
                </c:pt>
                <c:pt idx="24">
                  <c:v>50.4</c:v>
                </c:pt>
                <c:pt idx="25">
                  <c:v>63</c:v>
                </c:pt>
                <c:pt idx="26">
                  <c:v>50.833333333333336</c:v>
                </c:pt>
                <c:pt idx="27">
                  <c:v>36.5</c:v>
                </c:pt>
                <c:pt idx="28">
                  <c:v>64.666666666666671</c:v>
                </c:pt>
                <c:pt idx="29">
                  <c:v>45.25</c:v>
                </c:pt>
                <c:pt idx="30">
                  <c:v>36.5</c:v>
                </c:pt>
                <c:pt idx="31">
                  <c:v>48.333333333333336</c:v>
                </c:pt>
                <c:pt idx="32">
                  <c:v>78</c:v>
                </c:pt>
                <c:pt idx="33">
                  <c:v>55</c:v>
                </c:pt>
                <c:pt idx="34">
                  <c:v>62.8</c:v>
                </c:pt>
                <c:pt idx="35">
                  <c:v>45</c:v>
                </c:pt>
                <c:pt idx="36">
                  <c:v>85.166666666666671</c:v>
                </c:pt>
                <c:pt idx="37">
                  <c:v>70.333333333333329</c:v>
                </c:pt>
                <c:pt idx="38">
                  <c:v>59.375</c:v>
                </c:pt>
                <c:pt idx="39">
                  <c:v>55</c:v>
                </c:pt>
                <c:pt idx="40">
                  <c:v>51.6</c:v>
                </c:pt>
                <c:pt idx="41">
                  <c:v>46.333333333333336</c:v>
                </c:pt>
                <c:pt idx="42">
                  <c:v>59.2</c:v>
                </c:pt>
                <c:pt idx="43">
                  <c:v>39</c:v>
                </c:pt>
                <c:pt idx="44">
                  <c:v>44.375</c:v>
                </c:pt>
                <c:pt idx="45">
                  <c:v>76.2</c:v>
                </c:pt>
                <c:pt idx="46">
                  <c:v>57</c:v>
                </c:pt>
                <c:pt idx="47">
                  <c:v>53.666666666666664</c:v>
                </c:pt>
                <c:pt idx="48">
                  <c:v>46.75</c:v>
                </c:pt>
                <c:pt idx="49">
                  <c:v>56.75</c:v>
                </c:pt>
                <c:pt idx="50">
                  <c:v>67</c:v>
                </c:pt>
                <c:pt idx="51">
                  <c:v>87</c:v>
                </c:pt>
                <c:pt idx="52">
                  <c:v>49.333333333333336</c:v>
                </c:pt>
                <c:pt idx="53">
                  <c:v>56.833333333333336</c:v>
                </c:pt>
                <c:pt idx="54">
                  <c:v>33.428571428571431</c:v>
                </c:pt>
                <c:pt idx="55">
                  <c:v>68.75</c:v>
                </c:pt>
                <c:pt idx="56">
                  <c:v>61.666666666666664</c:v>
                </c:pt>
                <c:pt idx="57">
                  <c:v>65.666666666666671</c:v>
                </c:pt>
                <c:pt idx="58">
                  <c:v>49.142857142857146</c:v>
                </c:pt>
                <c:pt idx="59">
                  <c:v>60</c:v>
                </c:pt>
                <c:pt idx="60">
                  <c:v>71</c:v>
                </c:pt>
                <c:pt idx="61">
                  <c:v>49.6</c:v>
                </c:pt>
                <c:pt idx="62">
                  <c:v>59</c:v>
                </c:pt>
                <c:pt idx="63">
                  <c:v>54.25</c:v>
                </c:pt>
                <c:pt idx="64">
                  <c:v>81.285714285714292</c:v>
                </c:pt>
                <c:pt idx="65">
                  <c:v>56.25</c:v>
                </c:pt>
                <c:pt idx="66">
                  <c:v>57</c:v>
                </c:pt>
                <c:pt idx="67">
                  <c:v>54.875</c:v>
                </c:pt>
                <c:pt idx="68">
                  <c:v>50.333333333333336</c:v>
                </c:pt>
                <c:pt idx="69">
                  <c:v>53.166666666666664</c:v>
                </c:pt>
                <c:pt idx="70">
                  <c:v>58</c:v>
                </c:pt>
                <c:pt idx="71">
                  <c:v>58.222222222222221</c:v>
                </c:pt>
                <c:pt idx="72">
                  <c:v>62.666666666666664</c:v>
                </c:pt>
                <c:pt idx="73">
                  <c:v>77</c:v>
                </c:pt>
                <c:pt idx="74">
                  <c:v>52.5</c:v>
                </c:pt>
                <c:pt idx="75">
                  <c:v>42.666666666666664</c:v>
                </c:pt>
                <c:pt idx="76">
                  <c:v>66.25</c:v>
                </c:pt>
                <c:pt idx="77">
                  <c:v>53.75</c:v>
                </c:pt>
                <c:pt idx="78">
                  <c:v>53.2</c:v>
                </c:pt>
                <c:pt idx="79">
                  <c:v>56</c:v>
                </c:pt>
                <c:pt idx="80">
                  <c:v>53.75</c:v>
                </c:pt>
                <c:pt idx="81">
                  <c:v>42.25</c:v>
                </c:pt>
                <c:pt idx="82">
                  <c:v>41.166666666666664</c:v>
                </c:pt>
                <c:pt idx="83">
                  <c:v>70</c:v>
                </c:pt>
                <c:pt idx="84">
                  <c:v>0</c:v>
                </c:pt>
                <c:pt idx="85">
                  <c:v>53.8</c:v>
                </c:pt>
                <c:pt idx="86">
                  <c:v>68.333333333333329</c:v>
                </c:pt>
                <c:pt idx="87">
                  <c:v>65</c:v>
                </c:pt>
                <c:pt idx="88">
                  <c:v>56.6</c:v>
                </c:pt>
                <c:pt idx="89">
                  <c:v>63.333333333333336</c:v>
                </c:pt>
                <c:pt idx="90">
                  <c:v>48.333333333333336</c:v>
                </c:pt>
                <c:pt idx="91">
                  <c:v>67.333333333333329</c:v>
                </c:pt>
                <c:pt idx="92">
                  <c:v>40.428571428571431</c:v>
                </c:pt>
                <c:pt idx="93">
                  <c:v>55.8</c:v>
                </c:pt>
                <c:pt idx="94">
                  <c:v>51.25</c:v>
                </c:pt>
                <c:pt idx="95">
                  <c:v>81.666666666666671</c:v>
                </c:pt>
                <c:pt idx="96">
                  <c:v>48.166666666666664</c:v>
                </c:pt>
                <c:pt idx="97">
                  <c:v>57</c:v>
                </c:pt>
                <c:pt idx="98">
                  <c:v>45.666666666666664</c:v>
                </c:pt>
                <c:pt idx="99">
                  <c:v>56.5</c:v>
                </c:pt>
                <c:pt idx="100">
                  <c:v>18</c:v>
                </c:pt>
                <c:pt idx="101">
                  <c:v>44.333333333333336</c:v>
                </c:pt>
                <c:pt idx="102">
                  <c:v>55</c:v>
                </c:pt>
                <c:pt idx="103">
                  <c:v>36</c:v>
                </c:pt>
                <c:pt idx="104">
                  <c:v>24</c:v>
                </c:pt>
                <c:pt idx="105">
                  <c:v>48.25</c:v>
                </c:pt>
                <c:pt idx="106">
                  <c:v>71.666666666666671</c:v>
                </c:pt>
                <c:pt idx="107">
                  <c:v>73.166666666666671</c:v>
                </c:pt>
                <c:pt idx="108">
                  <c:v>48.25</c:v>
                </c:pt>
                <c:pt idx="109">
                  <c:v>43.6</c:v>
                </c:pt>
                <c:pt idx="110">
                  <c:v>81</c:v>
                </c:pt>
                <c:pt idx="111">
                  <c:v>36.333333333333336</c:v>
                </c:pt>
                <c:pt idx="112">
                  <c:v>70</c:v>
                </c:pt>
                <c:pt idx="113">
                  <c:v>44</c:v>
                </c:pt>
                <c:pt idx="114">
                  <c:v>0</c:v>
                </c:pt>
                <c:pt idx="115">
                  <c:v>55.8</c:v>
                </c:pt>
                <c:pt idx="116">
                  <c:v>55</c:v>
                </c:pt>
                <c:pt idx="117">
                  <c:v>61.25</c:v>
                </c:pt>
                <c:pt idx="118">
                  <c:v>31.75</c:v>
                </c:pt>
                <c:pt idx="119">
                  <c:v>57.6</c:v>
                </c:pt>
                <c:pt idx="120">
                  <c:v>74.666666666666671</c:v>
                </c:pt>
              </c:numCache>
            </c:numRef>
          </c:xVal>
          <c:yVal>
            <c:numRef>
              <c:f>Sheet2!$F$108:$F$228</c:f>
              <c:numCache>
                <c:formatCode>General</c:formatCode>
                <c:ptCount val="121"/>
                <c:pt idx="0">
                  <c:v>1.86</c:v>
                </c:pt>
                <c:pt idx="1">
                  <c:v>12.79</c:v>
                </c:pt>
                <c:pt idx="2">
                  <c:v>10.029999999999999</c:v>
                </c:pt>
                <c:pt idx="3">
                  <c:v>4.25</c:v>
                </c:pt>
                <c:pt idx="4">
                  <c:v>2.69</c:v>
                </c:pt>
                <c:pt idx="5">
                  <c:v>3.15</c:v>
                </c:pt>
                <c:pt idx="6">
                  <c:v>4.82</c:v>
                </c:pt>
                <c:pt idx="7">
                  <c:v>32.450000000000003</c:v>
                </c:pt>
                <c:pt idx="8">
                  <c:v>12.5</c:v>
                </c:pt>
                <c:pt idx="9">
                  <c:v>4.75</c:v>
                </c:pt>
                <c:pt idx="10">
                  <c:v>8.9</c:v>
                </c:pt>
                <c:pt idx="11">
                  <c:v>22.3</c:v>
                </c:pt>
                <c:pt idx="12">
                  <c:v>2.4</c:v>
                </c:pt>
                <c:pt idx="13">
                  <c:v>3.5</c:v>
                </c:pt>
                <c:pt idx="14">
                  <c:v>2.1</c:v>
                </c:pt>
                <c:pt idx="15">
                  <c:v>3.8</c:v>
                </c:pt>
                <c:pt idx="16">
                  <c:v>6.5</c:v>
                </c:pt>
                <c:pt idx="17">
                  <c:v>9.1999999999999993</c:v>
                </c:pt>
                <c:pt idx="18">
                  <c:v>2.75</c:v>
                </c:pt>
                <c:pt idx="19">
                  <c:v>5.4</c:v>
                </c:pt>
                <c:pt idx="20">
                  <c:v>15.6</c:v>
                </c:pt>
                <c:pt idx="21">
                  <c:v>18.399999999999999</c:v>
                </c:pt>
                <c:pt idx="22">
                  <c:v>4.2</c:v>
                </c:pt>
                <c:pt idx="23">
                  <c:v>2.9</c:v>
                </c:pt>
                <c:pt idx="24">
                  <c:v>5.0999999999999996</c:v>
                </c:pt>
                <c:pt idx="25">
                  <c:v>38.200000000000003</c:v>
                </c:pt>
                <c:pt idx="26">
                  <c:v>22.5</c:v>
                </c:pt>
                <c:pt idx="27">
                  <c:v>2.2000000000000002</c:v>
                </c:pt>
                <c:pt idx="28">
                  <c:v>12.4</c:v>
                </c:pt>
                <c:pt idx="29">
                  <c:v>44.9</c:v>
                </c:pt>
                <c:pt idx="30">
                  <c:v>4.5</c:v>
                </c:pt>
                <c:pt idx="31">
                  <c:v>3.2</c:v>
                </c:pt>
                <c:pt idx="32">
                  <c:v>5.8</c:v>
                </c:pt>
                <c:pt idx="33">
                  <c:v>2.5</c:v>
                </c:pt>
                <c:pt idx="34">
                  <c:v>7.1</c:v>
                </c:pt>
                <c:pt idx="35">
                  <c:v>28.5</c:v>
                </c:pt>
                <c:pt idx="36">
                  <c:v>3.95</c:v>
                </c:pt>
                <c:pt idx="37">
                  <c:v>19.8</c:v>
                </c:pt>
                <c:pt idx="38">
                  <c:v>24.3</c:v>
                </c:pt>
                <c:pt idx="39">
                  <c:v>35.6</c:v>
                </c:pt>
                <c:pt idx="40">
                  <c:v>42.1</c:v>
                </c:pt>
                <c:pt idx="41">
                  <c:v>4.0999999999999996</c:v>
                </c:pt>
                <c:pt idx="42">
                  <c:v>6.2</c:v>
                </c:pt>
                <c:pt idx="43">
                  <c:v>14.5</c:v>
                </c:pt>
                <c:pt idx="44">
                  <c:v>12.8</c:v>
                </c:pt>
                <c:pt idx="45">
                  <c:v>30.4</c:v>
                </c:pt>
                <c:pt idx="46">
                  <c:v>2.5</c:v>
                </c:pt>
                <c:pt idx="47">
                  <c:v>18.899999999999999</c:v>
                </c:pt>
                <c:pt idx="48">
                  <c:v>15.2</c:v>
                </c:pt>
                <c:pt idx="49">
                  <c:v>4.8</c:v>
                </c:pt>
                <c:pt idx="50">
                  <c:v>3.2</c:v>
                </c:pt>
                <c:pt idx="51">
                  <c:v>9.4</c:v>
                </c:pt>
                <c:pt idx="52">
                  <c:v>11.2</c:v>
                </c:pt>
                <c:pt idx="53">
                  <c:v>14.3</c:v>
                </c:pt>
                <c:pt idx="54">
                  <c:v>8.5</c:v>
                </c:pt>
                <c:pt idx="55">
                  <c:v>15.7</c:v>
                </c:pt>
                <c:pt idx="56">
                  <c:v>9.8000000000000007</c:v>
                </c:pt>
                <c:pt idx="57">
                  <c:v>11.4</c:v>
                </c:pt>
                <c:pt idx="58">
                  <c:v>3.85</c:v>
                </c:pt>
                <c:pt idx="59">
                  <c:v>4.4000000000000004</c:v>
                </c:pt>
                <c:pt idx="60">
                  <c:v>5.2</c:v>
                </c:pt>
                <c:pt idx="61">
                  <c:v>4.0999999999999996</c:v>
                </c:pt>
                <c:pt idx="62">
                  <c:v>6.5</c:v>
                </c:pt>
                <c:pt idx="63">
                  <c:v>3.5</c:v>
                </c:pt>
                <c:pt idx="64">
                  <c:v>2.9</c:v>
                </c:pt>
                <c:pt idx="65">
                  <c:v>3.2</c:v>
                </c:pt>
                <c:pt idx="66">
                  <c:v>6.8</c:v>
                </c:pt>
                <c:pt idx="67">
                  <c:v>2.5</c:v>
                </c:pt>
                <c:pt idx="68">
                  <c:v>18.2</c:v>
                </c:pt>
                <c:pt idx="69">
                  <c:v>4.5</c:v>
                </c:pt>
                <c:pt idx="70">
                  <c:v>13.4</c:v>
                </c:pt>
                <c:pt idx="71">
                  <c:v>21.1</c:v>
                </c:pt>
                <c:pt idx="72">
                  <c:v>7.8</c:v>
                </c:pt>
                <c:pt idx="73">
                  <c:v>16.5</c:v>
                </c:pt>
                <c:pt idx="74">
                  <c:v>5.2</c:v>
                </c:pt>
                <c:pt idx="75">
                  <c:v>6.4</c:v>
                </c:pt>
                <c:pt idx="76">
                  <c:v>24.8</c:v>
                </c:pt>
                <c:pt idx="77">
                  <c:v>12.4</c:v>
                </c:pt>
                <c:pt idx="78">
                  <c:v>15.6</c:v>
                </c:pt>
                <c:pt idx="79">
                  <c:v>8.1999999999999993</c:v>
                </c:pt>
                <c:pt idx="80">
                  <c:v>9.5</c:v>
                </c:pt>
                <c:pt idx="81">
                  <c:v>14.2</c:v>
                </c:pt>
                <c:pt idx="82">
                  <c:v>2.8</c:v>
                </c:pt>
                <c:pt idx="83">
                  <c:v>3.1</c:v>
                </c:pt>
                <c:pt idx="84">
                  <c:v>2.5</c:v>
                </c:pt>
                <c:pt idx="85">
                  <c:v>22.4</c:v>
                </c:pt>
                <c:pt idx="86">
                  <c:v>4.2</c:v>
                </c:pt>
                <c:pt idx="87">
                  <c:v>19.5</c:v>
                </c:pt>
                <c:pt idx="88">
                  <c:v>2.1</c:v>
                </c:pt>
                <c:pt idx="89">
                  <c:v>11.8</c:v>
                </c:pt>
                <c:pt idx="90">
                  <c:v>2.5</c:v>
                </c:pt>
                <c:pt idx="91">
                  <c:v>8.9</c:v>
                </c:pt>
                <c:pt idx="92">
                  <c:v>7.2</c:v>
                </c:pt>
                <c:pt idx="93">
                  <c:v>4.8</c:v>
                </c:pt>
                <c:pt idx="94">
                  <c:v>2.9</c:v>
                </c:pt>
                <c:pt idx="95">
                  <c:v>3.2</c:v>
                </c:pt>
                <c:pt idx="96">
                  <c:v>2.15</c:v>
                </c:pt>
                <c:pt idx="97">
                  <c:v>5.4</c:v>
                </c:pt>
                <c:pt idx="98">
                  <c:v>5.8</c:v>
                </c:pt>
                <c:pt idx="99">
                  <c:v>1.5</c:v>
                </c:pt>
                <c:pt idx="100">
                  <c:v>34.200000000000003</c:v>
                </c:pt>
                <c:pt idx="101">
                  <c:v>21.5</c:v>
                </c:pt>
                <c:pt idx="102">
                  <c:v>26.8</c:v>
                </c:pt>
                <c:pt idx="103">
                  <c:v>14.2</c:v>
                </c:pt>
                <c:pt idx="104">
                  <c:v>16.5</c:v>
                </c:pt>
                <c:pt idx="105">
                  <c:v>31.4</c:v>
                </c:pt>
                <c:pt idx="106">
                  <c:v>10.199999999999999</c:v>
                </c:pt>
                <c:pt idx="107">
                  <c:v>11.5</c:v>
                </c:pt>
                <c:pt idx="108">
                  <c:v>28.4</c:v>
                </c:pt>
                <c:pt idx="109">
                  <c:v>36.5</c:v>
                </c:pt>
                <c:pt idx="110">
                  <c:v>15.8</c:v>
                </c:pt>
                <c:pt idx="111">
                  <c:v>41.2</c:v>
                </c:pt>
                <c:pt idx="112">
                  <c:v>22.4</c:v>
                </c:pt>
                <c:pt idx="113">
                  <c:v>25.6</c:v>
                </c:pt>
                <c:pt idx="114">
                  <c:v>18.399999999999999</c:v>
                </c:pt>
                <c:pt idx="115">
                  <c:v>32.799999999999997</c:v>
                </c:pt>
                <c:pt idx="116">
                  <c:v>38.5</c:v>
                </c:pt>
                <c:pt idx="117">
                  <c:v>14.5</c:v>
                </c:pt>
                <c:pt idx="118">
                  <c:v>44.2</c:v>
                </c:pt>
                <c:pt idx="119">
                  <c:v>48.5</c:v>
                </c:pt>
                <c:pt idx="120">
                  <c:v>23.5</c:v>
                </c:pt>
              </c:numCache>
            </c:numRef>
          </c:yVal>
          <c:smooth val="0"/>
          <c:extLst>
            <c:ext xmlns:c16="http://schemas.microsoft.com/office/drawing/2014/chart" uri="{C3380CC4-5D6E-409C-BE32-E72D297353CC}">
              <c16:uniqueId val="{00000000-34BB-4AC0-8175-DC64298CAB4A}"/>
            </c:ext>
          </c:extLst>
        </c:ser>
        <c:dLbls>
          <c:showLegendKey val="0"/>
          <c:showVal val="0"/>
          <c:showCatName val="0"/>
          <c:showSerName val="0"/>
          <c:showPercent val="0"/>
          <c:showBubbleSize val="0"/>
        </c:dLbls>
        <c:axId val="1170851439"/>
        <c:axId val="1170852399"/>
      </c:scatterChart>
      <c:valAx>
        <c:axId val="1170851439"/>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sz="1000" b="1" i="0" u="none" strike="noStrike" baseline="0"/>
                  <a:t>Average Daily Demand (Units)</a:t>
                </a:r>
                <a:endParaRPr lang="en-IN" b="1"/>
              </a:p>
            </c:rich>
          </c:tx>
          <c:layout>
            <c:manualLayout>
              <c:xMode val="edge"/>
              <c:yMode val="edge"/>
              <c:x val="0.2895505028173892"/>
              <c:y val="0.90876866640072751"/>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IN"/>
            </a:p>
          </c:txPr>
        </c:title>
        <c:numFmt formatCode="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70852399"/>
        <c:crosses val="autoZero"/>
        <c:crossBetween val="midCat"/>
      </c:valAx>
      <c:valAx>
        <c:axId val="1170852399"/>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sz="1000" b="1" i="0" u="none" strike="noStrike" baseline="0"/>
                  <a:t>Unit Cost ($)</a:t>
                </a:r>
                <a:endParaRPr lang="en-IN"/>
              </a:p>
            </c:rich>
          </c:tx>
          <c:layout>
            <c:manualLayout>
              <c:xMode val="edge"/>
              <c:yMode val="edge"/>
              <c:x val="4.7025459963015638E-2"/>
              <c:y val="0.20625106215651015"/>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IN"/>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70851439"/>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smoothMarker"/>
        <c:varyColors val="0"/>
        <c:ser>
          <c:idx val="0"/>
          <c:order val="0"/>
          <c:spPr>
            <a:ln w="19050" cap="rnd">
              <a:solidFill>
                <a:schemeClr val="accent1"/>
              </a:solidFill>
              <a:round/>
            </a:ln>
            <a:effectLst/>
          </c:spPr>
          <c:marker>
            <c:symbol val="circle"/>
            <c:size val="5"/>
            <c:spPr>
              <a:solidFill>
                <a:schemeClr val="accent1"/>
              </a:solidFill>
              <a:ln w="9525">
                <a:solidFill>
                  <a:schemeClr val="accent1"/>
                </a:solidFill>
              </a:ln>
              <a:effectLst/>
            </c:spPr>
          </c:marker>
          <c:xVal>
            <c:numRef>
              <c:f>Sheet2!$I$226:$J$226</c:f>
              <c:numCache>
                <c:formatCode>General</c:formatCode>
                <c:ptCount val="2"/>
                <c:pt idx="0">
                  <c:v>55</c:v>
                </c:pt>
                <c:pt idx="1">
                  <c:v>0</c:v>
                </c:pt>
              </c:numCache>
            </c:numRef>
          </c:xVal>
          <c:yVal>
            <c:numRef>
              <c:f>Sheet2!$I$227:$J$227</c:f>
              <c:numCache>
                <c:formatCode>General</c:formatCode>
                <c:ptCount val="2"/>
                <c:pt idx="0">
                  <c:v>55</c:v>
                </c:pt>
                <c:pt idx="1">
                  <c:v>60</c:v>
                </c:pt>
              </c:numCache>
            </c:numRef>
          </c:yVal>
          <c:smooth val="1"/>
          <c:extLst>
            <c:ext xmlns:c16="http://schemas.microsoft.com/office/drawing/2014/chart" uri="{C3380CC4-5D6E-409C-BE32-E72D297353CC}">
              <c16:uniqueId val="{00000000-B9C3-462E-A813-214CB6CDABCF}"/>
            </c:ext>
          </c:extLst>
        </c:ser>
        <c:dLbls>
          <c:showLegendKey val="0"/>
          <c:showVal val="0"/>
          <c:showCatName val="0"/>
          <c:showSerName val="0"/>
          <c:showPercent val="0"/>
          <c:showBubbleSize val="0"/>
        </c:dLbls>
        <c:axId val="1551363727"/>
        <c:axId val="1551364687"/>
      </c:scatterChart>
      <c:valAx>
        <c:axId val="1551363727"/>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51364687"/>
        <c:crosses val="autoZero"/>
        <c:crossBetween val="midCat"/>
      </c:valAx>
      <c:valAx>
        <c:axId val="155136468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51363727"/>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1" i="0" u="none" strike="noStrike" baseline="0"/>
              <a:t>Fast-Moving vs High-Value Products</a:t>
            </a:r>
            <a:endParaRPr lang="en-US" sz="1400" b="1" i="0" u="none" strike="noStrike" kern="1200" spc="0" baseline="0">
              <a:solidFill>
                <a:sysClr val="windowText" lastClr="000000">
                  <a:lumMod val="65000"/>
                  <a:lumOff val="35000"/>
                </a:sysClr>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Sheet2!$F$238</c:f>
              <c:strCache>
                <c:ptCount val="1"/>
                <c:pt idx="0">
                  <c:v>Sum of Unit_Cost</c:v>
                </c:pt>
              </c:strCache>
            </c:strRef>
          </c:tx>
          <c:spPr>
            <a:ln w="19050" cap="rnd">
              <a:noFill/>
              <a:round/>
            </a:ln>
            <a:effectLst/>
          </c:spPr>
          <c:marker>
            <c:symbol val="circle"/>
            <c:size val="5"/>
            <c:spPr>
              <a:solidFill>
                <a:schemeClr val="accent1"/>
              </a:solidFill>
              <a:ln w="9525">
                <a:solidFill>
                  <a:schemeClr val="accent1"/>
                </a:solidFill>
              </a:ln>
              <a:effectLst/>
            </c:spPr>
          </c:marker>
          <c:xVal>
            <c:numRef>
              <c:f>Sheet2!$E$239:$E$359</c:f>
              <c:numCache>
                <c:formatCode>General</c:formatCode>
                <c:ptCount val="121"/>
                <c:pt idx="0">
                  <c:v>69</c:v>
                </c:pt>
                <c:pt idx="1">
                  <c:v>56</c:v>
                </c:pt>
                <c:pt idx="2">
                  <c:v>39</c:v>
                </c:pt>
                <c:pt idx="3">
                  <c:v>60.666666666666664</c:v>
                </c:pt>
                <c:pt idx="4">
                  <c:v>57.75</c:v>
                </c:pt>
                <c:pt idx="5">
                  <c:v>61.333333333333336</c:v>
                </c:pt>
                <c:pt idx="6">
                  <c:v>22.5</c:v>
                </c:pt>
                <c:pt idx="7">
                  <c:v>48.666666666666664</c:v>
                </c:pt>
                <c:pt idx="8">
                  <c:v>81.333333333333329</c:v>
                </c:pt>
                <c:pt idx="9">
                  <c:v>51.428571428571431</c:v>
                </c:pt>
                <c:pt idx="10">
                  <c:v>41.5</c:v>
                </c:pt>
                <c:pt idx="11">
                  <c:v>47.6</c:v>
                </c:pt>
                <c:pt idx="12">
                  <c:v>37</c:v>
                </c:pt>
                <c:pt idx="13">
                  <c:v>51.666666666666664</c:v>
                </c:pt>
                <c:pt idx="14">
                  <c:v>36.666666666666664</c:v>
                </c:pt>
                <c:pt idx="15">
                  <c:v>39</c:v>
                </c:pt>
                <c:pt idx="16">
                  <c:v>49</c:v>
                </c:pt>
                <c:pt idx="17">
                  <c:v>78.333333333333329</c:v>
                </c:pt>
                <c:pt idx="18">
                  <c:v>63.285714285714285</c:v>
                </c:pt>
                <c:pt idx="19">
                  <c:v>51.25</c:v>
                </c:pt>
                <c:pt idx="20">
                  <c:v>35.5</c:v>
                </c:pt>
                <c:pt idx="21">
                  <c:v>62.666666666666664</c:v>
                </c:pt>
                <c:pt idx="22">
                  <c:v>72.166666666666671</c:v>
                </c:pt>
                <c:pt idx="23">
                  <c:v>41</c:v>
                </c:pt>
                <c:pt idx="24">
                  <c:v>50.4</c:v>
                </c:pt>
                <c:pt idx="25">
                  <c:v>63</c:v>
                </c:pt>
                <c:pt idx="26">
                  <c:v>50.833333333333336</c:v>
                </c:pt>
                <c:pt idx="27">
                  <c:v>36.5</c:v>
                </c:pt>
                <c:pt idx="28">
                  <c:v>64.666666666666671</c:v>
                </c:pt>
                <c:pt idx="29">
                  <c:v>45.25</c:v>
                </c:pt>
                <c:pt idx="30">
                  <c:v>36.5</c:v>
                </c:pt>
                <c:pt idx="31">
                  <c:v>48.333333333333336</c:v>
                </c:pt>
                <c:pt idx="32">
                  <c:v>78</c:v>
                </c:pt>
                <c:pt idx="33">
                  <c:v>55</c:v>
                </c:pt>
                <c:pt idx="34">
                  <c:v>62.8</c:v>
                </c:pt>
                <c:pt idx="35">
                  <c:v>45</c:v>
                </c:pt>
                <c:pt idx="36">
                  <c:v>85.166666666666671</c:v>
                </c:pt>
                <c:pt idx="37">
                  <c:v>70.333333333333329</c:v>
                </c:pt>
                <c:pt idx="38">
                  <c:v>59.375</c:v>
                </c:pt>
                <c:pt idx="39">
                  <c:v>55</c:v>
                </c:pt>
                <c:pt idx="40">
                  <c:v>51.6</c:v>
                </c:pt>
                <c:pt idx="41">
                  <c:v>46.333333333333336</c:v>
                </c:pt>
                <c:pt idx="42">
                  <c:v>59.2</c:v>
                </c:pt>
                <c:pt idx="43">
                  <c:v>39</c:v>
                </c:pt>
                <c:pt idx="44">
                  <c:v>44.375</c:v>
                </c:pt>
                <c:pt idx="45">
                  <c:v>76.2</c:v>
                </c:pt>
                <c:pt idx="46">
                  <c:v>57</c:v>
                </c:pt>
                <c:pt idx="47">
                  <c:v>53.666666666666664</c:v>
                </c:pt>
                <c:pt idx="48">
                  <c:v>46.75</c:v>
                </c:pt>
                <c:pt idx="49">
                  <c:v>56.75</c:v>
                </c:pt>
                <c:pt idx="50">
                  <c:v>67</c:v>
                </c:pt>
                <c:pt idx="51">
                  <c:v>87</c:v>
                </c:pt>
                <c:pt idx="52">
                  <c:v>49.333333333333336</c:v>
                </c:pt>
                <c:pt idx="53">
                  <c:v>56.833333333333336</c:v>
                </c:pt>
                <c:pt idx="54">
                  <c:v>33.428571428571431</c:v>
                </c:pt>
                <c:pt idx="55">
                  <c:v>68.75</c:v>
                </c:pt>
                <c:pt idx="56">
                  <c:v>61.666666666666664</c:v>
                </c:pt>
                <c:pt idx="57">
                  <c:v>65.666666666666671</c:v>
                </c:pt>
                <c:pt idx="58">
                  <c:v>49.142857142857146</c:v>
                </c:pt>
                <c:pt idx="59">
                  <c:v>60</c:v>
                </c:pt>
                <c:pt idx="60">
                  <c:v>71</c:v>
                </c:pt>
                <c:pt idx="61">
                  <c:v>49.6</c:v>
                </c:pt>
                <c:pt idx="62">
                  <c:v>59</c:v>
                </c:pt>
                <c:pt idx="63">
                  <c:v>54.25</c:v>
                </c:pt>
                <c:pt idx="64">
                  <c:v>81.285714285714292</c:v>
                </c:pt>
                <c:pt idx="65">
                  <c:v>56.25</c:v>
                </c:pt>
                <c:pt idx="66">
                  <c:v>57</c:v>
                </c:pt>
                <c:pt idx="67">
                  <c:v>54.875</c:v>
                </c:pt>
                <c:pt idx="68">
                  <c:v>50.333333333333336</c:v>
                </c:pt>
                <c:pt idx="69">
                  <c:v>53.166666666666664</c:v>
                </c:pt>
                <c:pt idx="70">
                  <c:v>58</c:v>
                </c:pt>
                <c:pt idx="71">
                  <c:v>58.222222222222221</c:v>
                </c:pt>
                <c:pt idx="72">
                  <c:v>62.666666666666664</c:v>
                </c:pt>
                <c:pt idx="73">
                  <c:v>77</c:v>
                </c:pt>
                <c:pt idx="74">
                  <c:v>52.5</c:v>
                </c:pt>
                <c:pt idx="75">
                  <c:v>42.666666666666664</c:v>
                </c:pt>
                <c:pt idx="76">
                  <c:v>66.25</c:v>
                </c:pt>
                <c:pt idx="77">
                  <c:v>53.75</c:v>
                </c:pt>
                <c:pt idx="78">
                  <c:v>53.2</c:v>
                </c:pt>
                <c:pt idx="79">
                  <c:v>56</c:v>
                </c:pt>
                <c:pt idx="80">
                  <c:v>53.75</c:v>
                </c:pt>
                <c:pt idx="81">
                  <c:v>42.25</c:v>
                </c:pt>
                <c:pt idx="82">
                  <c:v>41.166666666666664</c:v>
                </c:pt>
                <c:pt idx="83">
                  <c:v>70</c:v>
                </c:pt>
                <c:pt idx="84">
                  <c:v>0</c:v>
                </c:pt>
                <c:pt idx="85">
                  <c:v>53.8</c:v>
                </c:pt>
                <c:pt idx="86">
                  <c:v>68.333333333333329</c:v>
                </c:pt>
                <c:pt idx="87">
                  <c:v>65</c:v>
                </c:pt>
                <c:pt idx="88">
                  <c:v>56.6</c:v>
                </c:pt>
                <c:pt idx="89">
                  <c:v>63.333333333333336</c:v>
                </c:pt>
                <c:pt idx="90">
                  <c:v>48.333333333333336</c:v>
                </c:pt>
                <c:pt idx="91">
                  <c:v>67.333333333333329</c:v>
                </c:pt>
                <c:pt idx="92">
                  <c:v>40.428571428571431</c:v>
                </c:pt>
                <c:pt idx="93">
                  <c:v>55.8</c:v>
                </c:pt>
                <c:pt idx="94">
                  <c:v>51.25</c:v>
                </c:pt>
                <c:pt idx="95">
                  <c:v>81.666666666666671</c:v>
                </c:pt>
                <c:pt idx="96">
                  <c:v>48.166666666666664</c:v>
                </c:pt>
                <c:pt idx="97">
                  <c:v>57</c:v>
                </c:pt>
                <c:pt idx="98">
                  <c:v>45.666666666666664</c:v>
                </c:pt>
                <c:pt idx="99">
                  <c:v>56.5</c:v>
                </c:pt>
                <c:pt idx="100">
                  <c:v>18</c:v>
                </c:pt>
                <c:pt idx="101">
                  <c:v>44.333333333333336</c:v>
                </c:pt>
                <c:pt idx="102">
                  <c:v>55</c:v>
                </c:pt>
                <c:pt idx="103">
                  <c:v>36</c:v>
                </c:pt>
                <c:pt idx="104">
                  <c:v>24</c:v>
                </c:pt>
                <c:pt idx="105">
                  <c:v>48.25</c:v>
                </c:pt>
                <c:pt idx="106">
                  <c:v>71.666666666666671</c:v>
                </c:pt>
                <c:pt idx="107">
                  <c:v>73.166666666666671</c:v>
                </c:pt>
                <c:pt idx="108">
                  <c:v>48.25</c:v>
                </c:pt>
                <c:pt idx="109">
                  <c:v>43.6</c:v>
                </c:pt>
                <c:pt idx="110">
                  <c:v>81</c:v>
                </c:pt>
                <c:pt idx="111">
                  <c:v>36.333333333333336</c:v>
                </c:pt>
                <c:pt idx="112">
                  <c:v>70</c:v>
                </c:pt>
                <c:pt idx="113">
                  <c:v>44</c:v>
                </c:pt>
                <c:pt idx="114">
                  <c:v>0</c:v>
                </c:pt>
                <c:pt idx="115">
                  <c:v>55.8</c:v>
                </c:pt>
                <c:pt idx="116">
                  <c:v>55</c:v>
                </c:pt>
                <c:pt idx="117">
                  <c:v>61.25</c:v>
                </c:pt>
                <c:pt idx="118">
                  <c:v>31.75</c:v>
                </c:pt>
                <c:pt idx="119">
                  <c:v>57.6</c:v>
                </c:pt>
                <c:pt idx="120">
                  <c:v>74.666666666666671</c:v>
                </c:pt>
              </c:numCache>
            </c:numRef>
          </c:xVal>
          <c:yVal>
            <c:numRef>
              <c:f>Sheet2!$F$239:$F$359</c:f>
              <c:numCache>
                <c:formatCode>General</c:formatCode>
                <c:ptCount val="121"/>
                <c:pt idx="0">
                  <c:v>1.86</c:v>
                </c:pt>
                <c:pt idx="1">
                  <c:v>12.79</c:v>
                </c:pt>
                <c:pt idx="2">
                  <c:v>10.029999999999999</c:v>
                </c:pt>
                <c:pt idx="3">
                  <c:v>4.25</c:v>
                </c:pt>
                <c:pt idx="4">
                  <c:v>2.69</c:v>
                </c:pt>
                <c:pt idx="5">
                  <c:v>3.15</c:v>
                </c:pt>
                <c:pt idx="6">
                  <c:v>4.82</c:v>
                </c:pt>
                <c:pt idx="7">
                  <c:v>32.450000000000003</c:v>
                </c:pt>
                <c:pt idx="8">
                  <c:v>12.5</c:v>
                </c:pt>
                <c:pt idx="9">
                  <c:v>4.75</c:v>
                </c:pt>
                <c:pt idx="10">
                  <c:v>8.9</c:v>
                </c:pt>
                <c:pt idx="11">
                  <c:v>22.3</c:v>
                </c:pt>
                <c:pt idx="12">
                  <c:v>2.4</c:v>
                </c:pt>
                <c:pt idx="13">
                  <c:v>3.5</c:v>
                </c:pt>
                <c:pt idx="14">
                  <c:v>2.1</c:v>
                </c:pt>
                <c:pt idx="15">
                  <c:v>3.8</c:v>
                </c:pt>
                <c:pt idx="16">
                  <c:v>6.5</c:v>
                </c:pt>
                <c:pt idx="17">
                  <c:v>9.1999999999999993</c:v>
                </c:pt>
                <c:pt idx="18">
                  <c:v>2.75</c:v>
                </c:pt>
                <c:pt idx="19">
                  <c:v>5.4</c:v>
                </c:pt>
                <c:pt idx="20">
                  <c:v>15.6</c:v>
                </c:pt>
                <c:pt idx="21">
                  <c:v>18.399999999999999</c:v>
                </c:pt>
                <c:pt idx="22">
                  <c:v>4.2</c:v>
                </c:pt>
                <c:pt idx="23">
                  <c:v>2.9</c:v>
                </c:pt>
                <c:pt idx="24">
                  <c:v>5.0999999999999996</c:v>
                </c:pt>
                <c:pt idx="25">
                  <c:v>38.200000000000003</c:v>
                </c:pt>
                <c:pt idx="26">
                  <c:v>22.5</c:v>
                </c:pt>
                <c:pt idx="27">
                  <c:v>2.2000000000000002</c:v>
                </c:pt>
                <c:pt idx="28">
                  <c:v>12.4</c:v>
                </c:pt>
                <c:pt idx="29">
                  <c:v>44.9</c:v>
                </c:pt>
                <c:pt idx="30">
                  <c:v>4.5</c:v>
                </c:pt>
                <c:pt idx="31">
                  <c:v>3.2</c:v>
                </c:pt>
                <c:pt idx="32">
                  <c:v>5.8</c:v>
                </c:pt>
                <c:pt idx="33">
                  <c:v>2.5</c:v>
                </c:pt>
                <c:pt idx="34">
                  <c:v>7.1</c:v>
                </c:pt>
                <c:pt idx="35">
                  <c:v>28.5</c:v>
                </c:pt>
                <c:pt idx="36">
                  <c:v>3.95</c:v>
                </c:pt>
                <c:pt idx="37">
                  <c:v>19.8</c:v>
                </c:pt>
                <c:pt idx="38">
                  <c:v>24.3</c:v>
                </c:pt>
                <c:pt idx="39">
                  <c:v>35.6</c:v>
                </c:pt>
                <c:pt idx="40">
                  <c:v>42.1</c:v>
                </c:pt>
                <c:pt idx="41">
                  <c:v>4.0999999999999996</c:v>
                </c:pt>
                <c:pt idx="42">
                  <c:v>6.2</c:v>
                </c:pt>
                <c:pt idx="43">
                  <c:v>14.5</c:v>
                </c:pt>
                <c:pt idx="44">
                  <c:v>12.8</c:v>
                </c:pt>
                <c:pt idx="45">
                  <c:v>30.4</c:v>
                </c:pt>
                <c:pt idx="46">
                  <c:v>2.5</c:v>
                </c:pt>
                <c:pt idx="47">
                  <c:v>18.899999999999999</c:v>
                </c:pt>
                <c:pt idx="48">
                  <c:v>15.2</c:v>
                </c:pt>
                <c:pt idx="49">
                  <c:v>4.8</c:v>
                </c:pt>
                <c:pt idx="50">
                  <c:v>3.2</c:v>
                </c:pt>
                <c:pt idx="51">
                  <c:v>9.4</c:v>
                </c:pt>
                <c:pt idx="52">
                  <c:v>11.2</c:v>
                </c:pt>
                <c:pt idx="53">
                  <c:v>14.3</c:v>
                </c:pt>
                <c:pt idx="54">
                  <c:v>8.5</c:v>
                </c:pt>
                <c:pt idx="55">
                  <c:v>15.7</c:v>
                </c:pt>
                <c:pt idx="56">
                  <c:v>9.8000000000000007</c:v>
                </c:pt>
                <c:pt idx="57">
                  <c:v>11.4</c:v>
                </c:pt>
                <c:pt idx="58">
                  <c:v>3.85</c:v>
                </c:pt>
                <c:pt idx="59">
                  <c:v>4.4000000000000004</c:v>
                </c:pt>
                <c:pt idx="60">
                  <c:v>5.2</c:v>
                </c:pt>
                <c:pt idx="61">
                  <c:v>4.0999999999999996</c:v>
                </c:pt>
                <c:pt idx="62">
                  <c:v>6.5</c:v>
                </c:pt>
                <c:pt idx="63">
                  <c:v>3.5</c:v>
                </c:pt>
                <c:pt idx="64">
                  <c:v>2.9</c:v>
                </c:pt>
                <c:pt idx="65">
                  <c:v>3.2</c:v>
                </c:pt>
                <c:pt idx="66">
                  <c:v>6.8</c:v>
                </c:pt>
                <c:pt idx="67">
                  <c:v>2.5</c:v>
                </c:pt>
                <c:pt idx="68">
                  <c:v>18.2</c:v>
                </c:pt>
                <c:pt idx="69">
                  <c:v>4.5</c:v>
                </c:pt>
                <c:pt idx="70">
                  <c:v>13.4</c:v>
                </c:pt>
                <c:pt idx="71">
                  <c:v>21.1</c:v>
                </c:pt>
                <c:pt idx="72">
                  <c:v>7.8</c:v>
                </c:pt>
                <c:pt idx="73">
                  <c:v>16.5</c:v>
                </c:pt>
                <c:pt idx="74">
                  <c:v>5.2</c:v>
                </c:pt>
                <c:pt idx="75">
                  <c:v>6.4</c:v>
                </c:pt>
                <c:pt idx="76">
                  <c:v>24.8</c:v>
                </c:pt>
                <c:pt idx="77">
                  <c:v>12.4</c:v>
                </c:pt>
                <c:pt idx="78">
                  <c:v>15.6</c:v>
                </c:pt>
                <c:pt idx="79">
                  <c:v>8.1999999999999993</c:v>
                </c:pt>
                <c:pt idx="80">
                  <c:v>9.5</c:v>
                </c:pt>
                <c:pt idx="81">
                  <c:v>14.2</c:v>
                </c:pt>
                <c:pt idx="82">
                  <c:v>2.8</c:v>
                </c:pt>
                <c:pt idx="83">
                  <c:v>3.1</c:v>
                </c:pt>
                <c:pt idx="84">
                  <c:v>2.5</c:v>
                </c:pt>
                <c:pt idx="85">
                  <c:v>22.4</c:v>
                </c:pt>
                <c:pt idx="86">
                  <c:v>4.2</c:v>
                </c:pt>
                <c:pt idx="87">
                  <c:v>19.5</c:v>
                </c:pt>
                <c:pt idx="88">
                  <c:v>2.1</c:v>
                </c:pt>
                <c:pt idx="89">
                  <c:v>11.8</c:v>
                </c:pt>
                <c:pt idx="90">
                  <c:v>2.5</c:v>
                </c:pt>
                <c:pt idx="91">
                  <c:v>8.9</c:v>
                </c:pt>
                <c:pt idx="92">
                  <c:v>7.2</c:v>
                </c:pt>
                <c:pt idx="93">
                  <c:v>4.8</c:v>
                </c:pt>
                <c:pt idx="94">
                  <c:v>2.9</c:v>
                </c:pt>
                <c:pt idx="95">
                  <c:v>3.2</c:v>
                </c:pt>
                <c:pt idx="96">
                  <c:v>2.15</c:v>
                </c:pt>
                <c:pt idx="97">
                  <c:v>5.4</c:v>
                </c:pt>
                <c:pt idx="98">
                  <c:v>5.8</c:v>
                </c:pt>
                <c:pt idx="99">
                  <c:v>1.5</c:v>
                </c:pt>
                <c:pt idx="100">
                  <c:v>34.200000000000003</c:v>
                </c:pt>
                <c:pt idx="101">
                  <c:v>21.5</c:v>
                </c:pt>
                <c:pt idx="102">
                  <c:v>26.8</c:v>
                </c:pt>
                <c:pt idx="103">
                  <c:v>14.2</c:v>
                </c:pt>
                <c:pt idx="104">
                  <c:v>16.5</c:v>
                </c:pt>
                <c:pt idx="105">
                  <c:v>31.4</c:v>
                </c:pt>
                <c:pt idx="106">
                  <c:v>10.199999999999999</c:v>
                </c:pt>
                <c:pt idx="107">
                  <c:v>11.5</c:v>
                </c:pt>
                <c:pt idx="108">
                  <c:v>28.4</c:v>
                </c:pt>
                <c:pt idx="109">
                  <c:v>36.5</c:v>
                </c:pt>
                <c:pt idx="110">
                  <c:v>15.8</c:v>
                </c:pt>
                <c:pt idx="111">
                  <c:v>41.2</c:v>
                </c:pt>
                <c:pt idx="112">
                  <c:v>22.4</c:v>
                </c:pt>
                <c:pt idx="113">
                  <c:v>25.6</c:v>
                </c:pt>
                <c:pt idx="114">
                  <c:v>18.399999999999999</c:v>
                </c:pt>
                <c:pt idx="115">
                  <c:v>32.799999999999997</c:v>
                </c:pt>
                <c:pt idx="116">
                  <c:v>38.5</c:v>
                </c:pt>
                <c:pt idx="117">
                  <c:v>14.5</c:v>
                </c:pt>
                <c:pt idx="118">
                  <c:v>44.2</c:v>
                </c:pt>
                <c:pt idx="119">
                  <c:v>48.5</c:v>
                </c:pt>
                <c:pt idx="120">
                  <c:v>23.5</c:v>
                </c:pt>
              </c:numCache>
            </c:numRef>
          </c:yVal>
          <c:smooth val="0"/>
          <c:extLst>
            <c:ext xmlns:c16="http://schemas.microsoft.com/office/drawing/2014/chart" uri="{C3380CC4-5D6E-409C-BE32-E72D297353CC}">
              <c16:uniqueId val="{00000000-1DD2-40A6-8EA8-31B2CD891984}"/>
            </c:ext>
          </c:extLst>
        </c:ser>
        <c:ser>
          <c:idx val="1"/>
          <c:order val="1"/>
          <c:tx>
            <c:v>Avg Data</c:v>
          </c:tx>
          <c:spPr>
            <a:ln w="19050" cap="rnd">
              <a:solidFill>
                <a:schemeClr val="tx1">
                  <a:lumMod val="50000"/>
                  <a:lumOff val="50000"/>
                </a:schemeClr>
              </a:solidFill>
              <a:round/>
            </a:ln>
            <a:effectLst/>
          </c:spPr>
          <c:marker>
            <c:symbol val="circle"/>
            <c:size val="5"/>
            <c:spPr>
              <a:solidFill>
                <a:schemeClr val="tx1">
                  <a:lumMod val="50000"/>
                  <a:lumOff val="50000"/>
                </a:schemeClr>
              </a:solidFill>
              <a:ln w="9525">
                <a:noFill/>
              </a:ln>
              <a:effectLst/>
            </c:spPr>
          </c:marker>
          <c:xVal>
            <c:numRef>
              <c:f>Sheet2!$G$365:$G$366</c:f>
              <c:numCache>
                <c:formatCode>General</c:formatCode>
                <c:ptCount val="2"/>
                <c:pt idx="0">
                  <c:v>54.158999999999999</c:v>
                </c:pt>
                <c:pt idx="1">
                  <c:v>54.158999999999999</c:v>
                </c:pt>
              </c:numCache>
            </c:numRef>
          </c:xVal>
          <c:yVal>
            <c:numRef>
              <c:f>Sheet2!$H$365:$H$366</c:f>
              <c:numCache>
                <c:formatCode>General</c:formatCode>
                <c:ptCount val="2"/>
                <c:pt idx="0">
                  <c:v>0</c:v>
                </c:pt>
                <c:pt idx="1">
                  <c:v>60</c:v>
                </c:pt>
              </c:numCache>
            </c:numRef>
          </c:yVal>
          <c:smooth val="0"/>
          <c:extLst>
            <c:ext xmlns:c16="http://schemas.microsoft.com/office/drawing/2014/chart" uri="{C3380CC4-5D6E-409C-BE32-E72D297353CC}">
              <c16:uniqueId val="{00000003-1DD2-40A6-8EA8-31B2CD891984}"/>
            </c:ext>
          </c:extLst>
        </c:ser>
        <c:ser>
          <c:idx val="2"/>
          <c:order val="2"/>
          <c:tx>
            <c:v>horiz</c:v>
          </c:tx>
          <c:spPr>
            <a:ln w="19050" cap="rnd">
              <a:solidFill>
                <a:schemeClr val="tx1">
                  <a:lumMod val="50000"/>
                  <a:lumOff val="50000"/>
                </a:schemeClr>
              </a:solidFill>
              <a:round/>
            </a:ln>
            <a:effectLst/>
          </c:spPr>
          <c:marker>
            <c:symbol val="circle"/>
            <c:size val="5"/>
            <c:spPr>
              <a:solidFill>
                <a:schemeClr val="accent3"/>
              </a:solidFill>
              <a:ln w="9525">
                <a:solidFill>
                  <a:schemeClr val="accent3"/>
                </a:solidFill>
              </a:ln>
              <a:effectLst/>
            </c:spPr>
          </c:marker>
          <c:xVal>
            <c:numRef>
              <c:f>Sheet2!$J$365:$J$366</c:f>
              <c:numCache>
                <c:formatCode>General</c:formatCode>
                <c:ptCount val="2"/>
                <c:pt idx="0">
                  <c:v>0</c:v>
                </c:pt>
                <c:pt idx="1">
                  <c:v>100</c:v>
                </c:pt>
              </c:numCache>
            </c:numRef>
          </c:xVal>
          <c:yVal>
            <c:numRef>
              <c:f>Sheet2!$K$365:$K$366</c:f>
              <c:numCache>
                <c:formatCode>General</c:formatCode>
                <c:ptCount val="2"/>
                <c:pt idx="0">
                  <c:v>13.082000000000001</c:v>
                </c:pt>
                <c:pt idx="1">
                  <c:v>13.082000000000001</c:v>
                </c:pt>
              </c:numCache>
            </c:numRef>
          </c:yVal>
          <c:smooth val="0"/>
          <c:extLst>
            <c:ext xmlns:c16="http://schemas.microsoft.com/office/drawing/2014/chart" uri="{C3380CC4-5D6E-409C-BE32-E72D297353CC}">
              <c16:uniqueId val="{00000004-1DD2-40A6-8EA8-31B2CD891984}"/>
            </c:ext>
          </c:extLst>
        </c:ser>
        <c:dLbls>
          <c:showLegendKey val="0"/>
          <c:showVal val="0"/>
          <c:showCatName val="0"/>
          <c:showSerName val="0"/>
          <c:showPercent val="0"/>
          <c:showBubbleSize val="0"/>
        </c:dLbls>
        <c:axId val="1855676671"/>
        <c:axId val="1855680511"/>
      </c:scatterChart>
      <c:valAx>
        <c:axId val="1855676671"/>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sz="1000" b="1" i="0" u="none" strike="noStrike" baseline="0"/>
                  <a:t>Avg_Daily_Demand</a:t>
                </a:r>
                <a:endParaRPr lang="en-IN" b="1"/>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IN"/>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55680511"/>
        <c:crosses val="autoZero"/>
        <c:crossBetween val="midCat"/>
      </c:valAx>
      <c:valAx>
        <c:axId val="1855680511"/>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sz="1000" b="1" i="0" u="none" strike="noStrike" baseline="0"/>
                  <a:t>Unit_Cost</a:t>
                </a:r>
                <a:endParaRPr lang="en-IN" b="1"/>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IN"/>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55676671"/>
        <c:crosses val="autoZero"/>
        <c:crossBetween val="midCat"/>
      </c:valAx>
      <c:spPr>
        <a:noFill/>
        <a:ln w="25400">
          <a:noFill/>
        </a:ln>
        <a:effectLst/>
      </c:spPr>
    </c:plotArea>
    <c:plotVisOnly val="1"/>
    <c:dispBlanksAs val="gap"/>
    <c:showDLblsOverMax val="0"/>
  </c:chart>
  <c:spPr>
    <a:no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[Inventory_Management_and_Reorder_Optimization_Excel.xlsx]Sheet2!PivotTable12</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Sheet2!$F$391</c:f>
              <c:strCache>
                <c:ptCount val="1"/>
                <c:pt idx="0">
                  <c:v>Total</c:v>
                </c:pt>
              </c:strCache>
            </c:strRef>
          </c:tx>
          <c:spPr>
            <a:solidFill>
              <a:schemeClr val="accent1"/>
            </a:solidFill>
            <a:ln>
              <a:noFill/>
            </a:ln>
            <a:effectLst/>
          </c:spPr>
          <c:invertIfNegative val="0"/>
          <c:cat>
            <c:strRef>
              <c:f>Sheet2!$E$392:$E$402</c:f>
              <c:strCache>
                <c:ptCount val="10"/>
                <c:pt idx="0">
                  <c:v>Coffee Beans</c:v>
                </c:pt>
                <c:pt idx="1">
                  <c:v>Crab</c:v>
                </c:pt>
                <c:pt idx="2">
                  <c:v>Sesame Oil</c:v>
                </c:pt>
                <c:pt idx="3">
                  <c:v>Corn Oil</c:v>
                </c:pt>
                <c:pt idx="4">
                  <c:v>Basmati Rice</c:v>
                </c:pt>
                <c:pt idx="5">
                  <c:v>Olive Oil</c:v>
                </c:pt>
                <c:pt idx="6">
                  <c:v>Evaporated Milk</c:v>
                </c:pt>
                <c:pt idx="7">
                  <c:v>Scallops</c:v>
                </c:pt>
                <c:pt idx="8">
                  <c:v>Avocado Oil</c:v>
                </c:pt>
                <c:pt idx="9">
                  <c:v>Lobster</c:v>
                </c:pt>
              </c:strCache>
            </c:strRef>
          </c:cat>
          <c:val>
            <c:numRef>
              <c:f>Sheet2!$F$392:$F$402</c:f>
              <c:numCache>
                <c:formatCode>General</c:formatCode>
                <c:ptCount val="10"/>
                <c:pt idx="0">
                  <c:v>650</c:v>
                </c:pt>
                <c:pt idx="1">
                  <c:v>654</c:v>
                </c:pt>
                <c:pt idx="2">
                  <c:v>658</c:v>
                </c:pt>
                <c:pt idx="3">
                  <c:v>700</c:v>
                </c:pt>
                <c:pt idx="4">
                  <c:v>711</c:v>
                </c:pt>
                <c:pt idx="5">
                  <c:v>716</c:v>
                </c:pt>
                <c:pt idx="6">
                  <c:v>800</c:v>
                </c:pt>
                <c:pt idx="7">
                  <c:v>873</c:v>
                </c:pt>
                <c:pt idx="8">
                  <c:v>950</c:v>
                </c:pt>
                <c:pt idx="9">
                  <c:v>1098</c:v>
                </c:pt>
              </c:numCache>
            </c:numRef>
          </c:val>
          <c:extLst>
            <c:ext xmlns:c16="http://schemas.microsoft.com/office/drawing/2014/chart" uri="{C3380CC4-5D6E-409C-BE32-E72D297353CC}">
              <c16:uniqueId val="{00000000-5257-4F14-AF6C-2D6353FC667D}"/>
            </c:ext>
          </c:extLst>
        </c:ser>
        <c:dLbls>
          <c:showLegendKey val="0"/>
          <c:showVal val="0"/>
          <c:showCatName val="0"/>
          <c:showSerName val="0"/>
          <c:showPercent val="0"/>
          <c:showBubbleSize val="0"/>
        </c:dLbls>
        <c:gapWidth val="182"/>
        <c:axId val="612041727"/>
        <c:axId val="612042207"/>
      </c:barChart>
      <c:catAx>
        <c:axId val="61204172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12042207"/>
        <c:crosses val="autoZero"/>
        <c:auto val="1"/>
        <c:lblAlgn val="ctr"/>
        <c:lblOffset val="100"/>
        <c:noMultiLvlLbl val="0"/>
      </c:catAx>
      <c:valAx>
        <c:axId val="612042207"/>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1204172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[Inventory_Management_and_Reorder_Optimization_Excel.xlsx]Sheet2!PivotTable5</c:name>
    <c:fmtId val="24"/>
  </c:pivotSource>
  <c:chart>
    <c:title>
      <c:layout>
        <c:manualLayout>
          <c:xMode val="edge"/>
          <c:yMode val="edge"/>
          <c:x val="0.81125787619878864"/>
          <c:y val="3.9563945096459184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1"/>
        <c:spPr>
          <a:solidFill>
            <a:schemeClr val="accent2"/>
          </a:solidFill>
          <a:ln w="19050">
            <a:solidFill>
              <a:schemeClr val="lt1"/>
            </a:solidFill>
          </a:ln>
          <a:effectLst/>
        </c:spPr>
        <c:dLbl>
          <c:idx val="0"/>
          <c:layout>
            <c:manualLayout>
              <c:x val="-0.17899757972721334"/>
              <c:y val="-0.24291742681969061"/>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dLbl>
          <c:idx val="0"/>
          <c:layout>
            <c:manualLayout>
              <c:x val="0.14319806378177066"/>
              <c:y val="0.25263412389247836"/>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4"/>
        <c:spPr>
          <a:solidFill>
            <a:schemeClr val="accent1"/>
          </a:solidFill>
          <a:ln w="19050">
            <a:solidFill>
              <a:schemeClr val="lt1"/>
            </a:solidFill>
          </a:ln>
          <a:effectLst/>
        </c:spPr>
        <c:dLbl>
          <c:idx val="0"/>
          <c:layout>
            <c:manualLayout>
              <c:x val="0.14319806378177066"/>
              <c:y val="0.25263412389247836"/>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dLbl>
          <c:idx val="0"/>
          <c:layout>
            <c:manualLayout>
              <c:x val="-0.17899757972721334"/>
              <c:y val="-0.24291742681969061"/>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dLbl>
          <c:idx val="0"/>
          <c:layout>
            <c:manualLayout>
              <c:x val="0.14319806378177066"/>
              <c:y val="0.25263412389247836"/>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8"/>
        <c:spPr>
          <a:solidFill>
            <a:schemeClr val="accent1"/>
          </a:solidFill>
          <a:ln w="19050">
            <a:solidFill>
              <a:schemeClr val="lt1"/>
            </a:solidFill>
          </a:ln>
          <a:effectLst/>
        </c:spPr>
        <c:dLbl>
          <c:idx val="0"/>
          <c:layout>
            <c:manualLayout>
              <c:x val="-5.1226711157995014E-2"/>
              <c:y val="-0.3088573392675789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layout>
                <c:manualLayout>
                  <c:w val="0.55601196990897883"/>
                  <c:h val="0.23708720059647059"/>
                </c:manualLayout>
              </c15:layout>
            </c:ext>
          </c:extLst>
        </c:dLbl>
      </c:pivotFmt>
      <c:pivotFmt>
        <c:idx val="9"/>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10"/>
        <c:spPr>
          <a:solidFill>
            <a:schemeClr val="accent1"/>
          </a:solidFill>
          <a:ln w="19050">
            <a:solidFill>
              <a:schemeClr val="lt1"/>
            </a:solidFill>
          </a:ln>
          <a:effectLst/>
        </c:spPr>
        <c:dLbl>
          <c:idx val="0"/>
          <c:layout>
            <c:manualLayout>
              <c:x val="0.14319806378177066"/>
              <c:y val="0.25263412389247836"/>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11"/>
        <c:spPr>
          <a:solidFill>
            <a:schemeClr val="accent1"/>
          </a:solidFill>
          <a:ln w="19050">
            <a:solidFill>
              <a:schemeClr val="lt1"/>
            </a:solidFill>
          </a:ln>
          <a:effectLst/>
        </c:spPr>
        <c:dLbl>
          <c:idx val="0"/>
          <c:layout>
            <c:manualLayout>
              <c:x val="-5.1226711157995014E-2"/>
              <c:y val="-0.3088573392675789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layout>
                <c:manualLayout>
                  <c:w val="0.55601196990897883"/>
                  <c:h val="0.23708720059647059"/>
                </c:manualLayout>
              </c15:layout>
            </c:ext>
          </c:extLst>
        </c:dLbl>
      </c:pivotFmt>
      <c:pivotFmt>
        <c:idx val="1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13"/>
        <c:spPr>
          <a:solidFill>
            <a:schemeClr val="accent1"/>
          </a:solidFill>
          <a:ln w="19050">
            <a:solidFill>
              <a:schemeClr val="lt1"/>
            </a:solidFill>
          </a:ln>
          <a:effectLst/>
        </c:spPr>
        <c:dLbl>
          <c:idx val="0"/>
          <c:layout>
            <c:manualLayout>
              <c:x val="0.14319806378177066"/>
              <c:y val="0.25263412389247836"/>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14"/>
        <c:spPr>
          <a:solidFill>
            <a:schemeClr val="accent1"/>
          </a:solidFill>
          <a:ln w="19050">
            <a:solidFill>
              <a:schemeClr val="lt1"/>
            </a:solidFill>
          </a:ln>
          <a:effectLst/>
        </c:spPr>
        <c:dLbl>
          <c:idx val="0"/>
          <c:layout>
            <c:manualLayout>
              <c:x val="-5.1226711157995014E-2"/>
              <c:y val="-0.3088573392675789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layout>
                <c:manualLayout>
                  <c:w val="0.55601196990897883"/>
                  <c:h val="0.23708720059647059"/>
                </c:manualLayout>
              </c15:layout>
            </c:ext>
          </c:extLst>
        </c:dLbl>
      </c:pivotFmt>
      <c:pivotFmt>
        <c:idx val="1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16"/>
        <c:spPr>
          <a:solidFill>
            <a:schemeClr val="accent1"/>
          </a:solidFill>
          <a:ln w="19050">
            <a:solidFill>
              <a:schemeClr val="lt1"/>
            </a:solidFill>
          </a:ln>
          <a:effectLst/>
        </c:spPr>
        <c:dLbl>
          <c:idx val="0"/>
          <c:layout>
            <c:manualLayout>
              <c:x val="0.14319806378177066"/>
              <c:y val="0.25263412389247836"/>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17"/>
        <c:spPr>
          <a:solidFill>
            <a:schemeClr val="accent1"/>
          </a:solidFill>
          <a:ln w="19050">
            <a:solidFill>
              <a:schemeClr val="lt1"/>
            </a:solidFill>
          </a:ln>
          <a:effectLst/>
        </c:spPr>
        <c:dLbl>
          <c:idx val="0"/>
          <c:layout>
            <c:manualLayout>
              <c:x val="-5.1226711157995014E-2"/>
              <c:y val="-0.3088573392675789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layout>
                <c:manualLayout>
                  <c:w val="0.55601196990897883"/>
                  <c:h val="0.23708720059647059"/>
                </c:manualLayout>
              </c15:layout>
            </c:ext>
          </c:extLst>
        </c:dLbl>
      </c:pivotFmt>
      <c:pivotFmt>
        <c:idx val="18"/>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19"/>
        <c:spPr>
          <a:solidFill>
            <a:schemeClr val="accent1"/>
          </a:solidFill>
          <a:ln w="19050">
            <a:solidFill>
              <a:schemeClr val="lt1"/>
            </a:solidFill>
          </a:ln>
          <a:effectLst/>
        </c:spPr>
        <c:dLbl>
          <c:idx val="0"/>
          <c:layout>
            <c:manualLayout>
              <c:x val="0.14319806378177066"/>
              <c:y val="0.25263412389247836"/>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20"/>
        <c:spPr>
          <a:solidFill>
            <a:schemeClr val="accent1"/>
          </a:solidFill>
          <a:ln w="19050">
            <a:solidFill>
              <a:schemeClr val="lt1"/>
            </a:solidFill>
          </a:ln>
          <a:effectLst/>
        </c:spPr>
        <c:dLbl>
          <c:idx val="0"/>
          <c:layout>
            <c:manualLayout>
              <c:x val="-0.1013738801213666"/>
              <c:y val="-0.28084385863523265"/>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layout>
                <c:manualLayout>
                  <c:w val="0.55601196990897883"/>
                  <c:h val="0.23708720059647059"/>
                </c:manualLayout>
              </c15:layout>
            </c:ext>
          </c:extLst>
        </c:dLbl>
      </c:pivotFmt>
    </c:pivotFmts>
    <c:plotArea>
      <c:layout>
        <c:manualLayout>
          <c:layoutTarget val="inner"/>
          <c:xMode val="edge"/>
          <c:yMode val="edge"/>
          <c:x val="0.28266903109313157"/>
          <c:y val="0.1570403053796581"/>
          <c:w val="0.60709735146743016"/>
          <c:h val="0.77866549964289222"/>
        </c:manualLayout>
      </c:layout>
      <c:doughnutChart>
        <c:varyColors val="1"/>
        <c:ser>
          <c:idx val="0"/>
          <c:order val="0"/>
          <c:tx>
            <c:strRef>
              <c:f>Sheet2!$F$85</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7C6C-4B56-A0A6-22B88E3249E4}"/>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7C6C-4B56-A0A6-22B88E3249E4}"/>
              </c:ext>
            </c:extLst>
          </c:dPt>
          <c:dLbls>
            <c:dLbl>
              <c:idx val="0"/>
              <c:layout>
                <c:manualLayout>
                  <c:x val="0.14319806378177066"/>
                  <c:y val="0.25263412389247836"/>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1-7C6C-4B56-A0A6-22B88E3249E4}"/>
                </c:ext>
              </c:extLst>
            </c:dLbl>
            <c:dLbl>
              <c:idx val="1"/>
              <c:layout>
                <c:manualLayout>
                  <c:x val="-0.1013738801213666"/>
                  <c:y val="-0.28084385863523265"/>
                </c:manualLayout>
              </c:layout>
              <c:showLegendKey val="0"/>
              <c:showVal val="0"/>
              <c:showCatName val="1"/>
              <c:showSerName val="0"/>
              <c:showPercent val="1"/>
              <c:showBubbleSize val="0"/>
              <c:extLst>
                <c:ext xmlns:c15="http://schemas.microsoft.com/office/drawing/2012/chart" uri="{CE6537A1-D6FC-4f65-9D91-7224C49458BB}">
                  <c15:layout>
                    <c:manualLayout>
                      <c:w val="0.55601196990897883"/>
                      <c:h val="0.23708720059647059"/>
                    </c:manualLayout>
                  </c15:layout>
                </c:ext>
                <c:ext xmlns:c16="http://schemas.microsoft.com/office/drawing/2014/chart" uri="{C3380CC4-5D6E-409C-BE32-E72D297353CC}">
                  <c16:uniqueId val="{00000003-7C6C-4B56-A0A6-22B88E3249E4}"/>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Sheet2!$E$86:$E$88</c:f>
              <c:strCache>
                <c:ptCount val="2"/>
                <c:pt idx="0">
                  <c:v>REORDER</c:v>
                </c:pt>
                <c:pt idx="1">
                  <c:v>SUFFICIENT_STOCK</c:v>
                </c:pt>
              </c:strCache>
            </c:strRef>
          </c:cat>
          <c:val>
            <c:numRef>
              <c:f>Sheet2!$F$86:$F$88</c:f>
              <c:numCache>
                <c:formatCode>General</c:formatCode>
                <c:ptCount val="2"/>
                <c:pt idx="0">
                  <c:v>67</c:v>
                </c:pt>
                <c:pt idx="1">
                  <c:v>54</c:v>
                </c:pt>
              </c:numCache>
            </c:numRef>
          </c:val>
          <c:extLst>
            <c:ext xmlns:c16="http://schemas.microsoft.com/office/drawing/2014/chart" uri="{C3380CC4-5D6E-409C-BE32-E72D297353CC}">
              <c16:uniqueId val="{00000004-7C6C-4B56-A0A6-22B88E3249E4}"/>
            </c:ext>
          </c:extLst>
        </c:ser>
        <c:dLbls>
          <c:showLegendKey val="0"/>
          <c:showVal val="0"/>
          <c:showCatName val="1"/>
          <c:showSerName val="0"/>
          <c:showPercent val="1"/>
          <c:showBubbleSize val="0"/>
          <c:showLeaderLines val="1"/>
        </c:dLbls>
        <c:firstSliceAng val="0"/>
        <c:holeSize val="5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[Inventory_Management_and_Reorder_Optimization_Excel.xlsx]Sheet2!PivotTable4</c:name>
    <c:fmtId val="2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7.8206418094821983E-2"/>
          <c:y val="6.6643466027688544E-2"/>
          <c:w val="0.85274782338079391"/>
          <c:h val="0.5982200643023966"/>
        </c:manualLayout>
      </c:layout>
      <c:barChart>
        <c:barDir val="col"/>
        <c:grouping val="clustered"/>
        <c:varyColors val="0"/>
        <c:ser>
          <c:idx val="0"/>
          <c:order val="0"/>
          <c:tx>
            <c:strRef>
              <c:f>Sheet2!$F$66</c:f>
              <c:strCache>
                <c:ptCount val="1"/>
                <c:pt idx="0">
                  <c:v>Sum of Current_Stock</c:v>
                </c:pt>
              </c:strCache>
            </c:strRef>
          </c:tx>
          <c:spPr>
            <a:solidFill>
              <a:schemeClr val="accent1"/>
            </a:solidFill>
            <a:ln>
              <a:noFill/>
            </a:ln>
            <a:effectLst/>
          </c:spPr>
          <c:invertIfNegative val="0"/>
          <c:cat>
            <c:strRef>
              <c:f>Sheet2!$E$67:$E$74</c:f>
              <c:strCache>
                <c:ptCount val="7"/>
                <c:pt idx="0">
                  <c:v>Bakery</c:v>
                </c:pt>
                <c:pt idx="1">
                  <c:v>Beverages</c:v>
                </c:pt>
                <c:pt idx="2">
                  <c:v>Dairy</c:v>
                </c:pt>
                <c:pt idx="3">
                  <c:v>Fruits</c:v>
                </c:pt>
                <c:pt idx="4">
                  <c:v>Grains</c:v>
                </c:pt>
                <c:pt idx="5">
                  <c:v>Oils</c:v>
                </c:pt>
                <c:pt idx="6">
                  <c:v>Seafood</c:v>
                </c:pt>
              </c:strCache>
            </c:strRef>
          </c:cat>
          <c:val>
            <c:numRef>
              <c:f>Sheet2!$F$67:$F$74</c:f>
              <c:numCache>
                <c:formatCode>General</c:formatCode>
                <c:ptCount val="7"/>
                <c:pt idx="0">
                  <c:v>3748</c:v>
                </c:pt>
                <c:pt idx="1">
                  <c:v>2548</c:v>
                </c:pt>
                <c:pt idx="2">
                  <c:v>11967</c:v>
                </c:pt>
                <c:pt idx="3">
                  <c:v>7262</c:v>
                </c:pt>
                <c:pt idx="4">
                  <c:v>3973</c:v>
                </c:pt>
                <c:pt idx="5">
                  <c:v>4795</c:v>
                </c:pt>
                <c:pt idx="6">
                  <c:v>18092</c:v>
                </c:pt>
              </c:numCache>
            </c:numRef>
          </c:val>
          <c:extLst>
            <c:ext xmlns:c16="http://schemas.microsoft.com/office/drawing/2014/chart" uri="{C3380CC4-5D6E-409C-BE32-E72D297353CC}">
              <c16:uniqueId val="{00000000-CDE3-476A-9D5E-E517C29E89D5}"/>
            </c:ext>
          </c:extLst>
        </c:ser>
        <c:ser>
          <c:idx val="1"/>
          <c:order val="1"/>
          <c:tx>
            <c:strRef>
              <c:f>Sheet2!$G$66</c:f>
              <c:strCache>
                <c:ptCount val="1"/>
                <c:pt idx="0">
                  <c:v>Sum of Reorder_Point</c:v>
                </c:pt>
              </c:strCache>
            </c:strRef>
          </c:tx>
          <c:spPr>
            <a:solidFill>
              <a:schemeClr val="accent2"/>
            </a:solidFill>
            <a:ln>
              <a:noFill/>
            </a:ln>
            <a:effectLst/>
          </c:spPr>
          <c:invertIfNegative val="0"/>
          <c:cat>
            <c:strRef>
              <c:f>Sheet2!$E$67:$E$74</c:f>
              <c:strCache>
                <c:ptCount val="7"/>
                <c:pt idx="0">
                  <c:v>Bakery</c:v>
                </c:pt>
                <c:pt idx="1">
                  <c:v>Beverages</c:v>
                </c:pt>
                <c:pt idx="2">
                  <c:v>Dairy</c:v>
                </c:pt>
                <c:pt idx="3">
                  <c:v>Fruits</c:v>
                </c:pt>
                <c:pt idx="4">
                  <c:v>Grains</c:v>
                </c:pt>
                <c:pt idx="5">
                  <c:v>Oils</c:v>
                </c:pt>
                <c:pt idx="6">
                  <c:v>Seafood</c:v>
                </c:pt>
              </c:strCache>
            </c:strRef>
          </c:cat>
          <c:val>
            <c:numRef>
              <c:f>Sheet2!$G$67:$G$74</c:f>
              <c:numCache>
                <c:formatCode>General</c:formatCode>
                <c:ptCount val="7"/>
                <c:pt idx="0">
                  <c:v>1569</c:v>
                </c:pt>
                <c:pt idx="1">
                  <c:v>3502</c:v>
                </c:pt>
                <c:pt idx="2">
                  <c:v>11483</c:v>
                </c:pt>
                <c:pt idx="3">
                  <c:v>5573</c:v>
                </c:pt>
                <c:pt idx="4">
                  <c:v>3928</c:v>
                </c:pt>
                <c:pt idx="5">
                  <c:v>11083</c:v>
                </c:pt>
                <c:pt idx="6">
                  <c:v>19387</c:v>
                </c:pt>
              </c:numCache>
            </c:numRef>
          </c:val>
          <c:extLst>
            <c:ext xmlns:c16="http://schemas.microsoft.com/office/drawing/2014/chart" uri="{C3380CC4-5D6E-409C-BE32-E72D297353CC}">
              <c16:uniqueId val="{00000001-CDE3-476A-9D5E-E517C29E89D5}"/>
            </c:ext>
          </c:extLst>
        </c:ser>
        <c:dLbls>
          <c:showLegendKey val="0"/>
          <c:showVal val="0"/>
          <c:showCatName val="0"/>
          <c:showSerName val="0"/>
          <c:showPercent val="0"/>
          <c:showBubbleSize val="0"/>
        </c:dLbls>
        <c:gapWidth val="219"/>
        <c:overlap val="-27"/>
        <c:axId val="785529040"/>
        <c:axId val="785533840"/>
      </c:barChart>
      <c:catAx>
        <c:axId val="78552904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85533840"/>
        <c:crosses val="autoZero"/>
        <c:auto val="1"/>
        <c:lblAlgn val="ctr"/>
        <c:lblOffset val="100"/>
        <c:noMultiLvlLbl val="0"/>
      </c:catAx>
      <c:valAx>
        <c:axId val="78553384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85529040"/>
        <c:crosses val="autoZero"/>
        <c:crossBetween val="between"/>
      </c:valAx>
      <c:spPr>
        <a:noFill/>
        <a:ln w="25400">
          <a:noFill/>
        </a:ln>
        <a:effectLst/>
      </c:spPr>
    </c:plotArea>
    <c:legend>
      <c:legendPos val="r"/>
      <c:layout>
        <c:manualLayout>
          <c:xMode val="edge"/>
          <c:yMode val="edge"/>
          <c:x val="0.17696163731735318"/>
          <c:y val="9.2198367973333112E-2"/>
          <c:w val="0.56743489334744102"/>
          <c:h val="0.15621004515929326"/>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[Inventory_Management_and_Reorder_Optimization_Excel.xlsx]Sheet2!PivotTable1</c:name>
    <c:fmtId val="24"/>
  </c:pivotSource>
  <c:chart>
    <c:title>
      <c:layout>
        <c:manualLayout>
          <c:xMode val="edge"/>
          <c:yMode val="edge"/>
          <c:x val="0.12012960522860446"/>
          <c:y val="6.5413310340611319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0"/>
          <c:showBubbleSize val="0"/>
          <c:extLst>
            <c:ext xmlns:c15="http://schemas.microsoft.com/office/drawing/2012/chart" uri="{CE6537A1-D6FC-4f65-9D91-7224C49458BB}"/>
          </c:extLst>
        </c:dLbl>
      </c:pivotFmt>
      <c:pivotFmt>
        <c:idx val="10"/>
        <c:spPr>
          <a:solidFill>
            <a:schemeClr val="accent1"/>
          </a:solidFill>
          <a:ln w="19050">
            <a:solidFill>
              <a:schemeClr val="lt1"/>
            </a:solidFill>
          </a:ln>
          <a:effectLst/>
        </c:spPr>
        <c:dLbl>
          <c:idx val="0"/>
          <c:layout>
            <c:manualLayout>
              <c:x val="-0.19206784573821115"/>
              <c:y val="-0.1500296556039315"/>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0"/>
          <c:showBubbleSize val="0"/>
          <c:extLst>
            <c:ext xmlns:c15="http://schemas.microsoft.com/office/drawing/2012/chart" uri="{CE6537A1-D6FC-4f65-9D91-7224C49458BB}"/>
          </c:extLst>
        </c:dLbl>
      </c:pivotFmt>
      <c:pivotFmt>
        <c:idx val="11"/>
        <c:spPr>
          <a:solidFill>
            <a:schemeClr val="accent1"/>
          </a:solidFill>
          <a:ln w="19050">
            <a:solidFill>
              <a:schemeClr val="lt1"/>
            </a:solidFill>
          </a:ln>
          <a:effectLst/>
        </c:spPr>
        <c:dLbl>
          <c:idx val="0"/>
          <c:layout>
            <c:manualLayout>
              <c:x val="-4.9038598911883759E-2"/>
              <c:y val="-0.22763120160596501"/>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0"/>
          <c:showBubbleSize val="0"/>
          <c:extLst>
            <c:ext xmlns:c15="http://schemas.microsoft.com/office/drawing/2012/chart" uri="{CE6537A1-D6FC-4f65-9D91-7224C49458BB}"/>
          </c:extLst>
        </c:dLbl>
      </c:pivotFmt>
      <c:pivotFmt>
        <c:idx val="12"/>
        <c:spPr>
          <a:solidFill>
            <a:schemeClr val="accent1"/>
          </a:solidFill>
          <a:ln w="19050">
            <a:solidFill>
              <a:schemeClr val="lt1"/>
            </a:solidFill>
          </a:ln>
          <a:effectLst/>
        </c:spPr>
        <c:dLbl>
          <c:idx val="0"/>
          <c:layout>
            <c:manualLayout>
              <c:x val="0.14711579673565106"/>
              <c:y val="-0.2328046380061005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0"/>
          <c:showBubbleSize val="0"/>
          <c:extLst>
            <c:ext xmlns:c15="http://schemas.microsoft.com/office/drawing/2012/chart" uri="{CE6537A1-D6FC-4f65-9D91-7224C49458BB}"/>
          </c:extLst>
        </c:dLbl>
      </c:pivotFmt>
      <c:pivotFmt>
        <c:idx val="13"/>
        <c:spPr>
          <a:solidFill>
            <a:schemeClr val="accent1"/>
          </a:solidFill>
          <a:ln w="19050">
            <a:solidFill>
              <a:schemeClr val="lt1"/>
            </a:solidFill>
          </a:ln>
          <a:effectLst/>
        </c:spPr>
        <c:dLbl>
          <c:idx val="0"/>
          <c:layout>
            <c:manualLayout>
              <c:x val="0.17980819601024017"/>
              <c:y val="-0.1138156008029825"/>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0"/>
          <c:showBubbleSize val="0"/>
          <c:extLst>
            <c:ext xmlns:c15="http://schemas.microsoft.com/office/drawing/2012/chart" uri="{CE6537A1-D6FC-4f65-9D91-7224C49458BB}"/>
          </c:extLst>
        </c:dLbl>
      </c:pivotFmt>
      <c:pivotFmt>
        <c:idx val="14"/>
        <c:spPr>
          <a:solidFill>
            <a:schemeClr val="accent1"/>
          </a:solidFill>
          <a:ln w="19050">
            <a:solidFill>
              <a:schemeClr val="lt1"/>
            </a:solidFill>
          </a:ln>
          <a:effectLst/>
        </c:spPr>
        <c:dLbl>
          <c:idx val="0"/>
          <c:layout>
            <c:manualLayout>
              <c:x val="0.20432749546618204"/>
              <c:y val="-3.621405480094897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0"/>
          <c:showBubbleSize val="0"/>
          <c:extLst>
            <c:ext xmlns:c15="http://schemas.microsoft.com/office/drawing/2012/chart" uri="{CE6537A1-D6FC-4f65-9D91-7224C49458BB}"/>
          </c:extLst>
        </c:dLbl>
      </c:pivotFmt>
      <c:pivotFmt>
        <c:idx val="15"/>
        <c:spPr>
          <a:solidFill>
            <a:schemeClr val="accent1"/>
          </a:solidFill>
          <a:ln w="19050">
            <a:solidFill>
              <a:schemeClr val="lt1"/>
            </a:solidFill>
          </a:ln>
          <a:effectLst/>
        </c:spPr>
        <c:dLbl>
          <c:idx val="0"/>
          <c:layout>
            <c:manualLayout>
              <c:x val="0.15528889655429834"/>
              <c:y val="8.794841880230466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0"/>
          <c:showBubbleSize val="0"/>
          <c:extLst>
            <c:ext xmlns:c15="http://schemas.microsoft.com/office/drawing/2012/chart" uri="{CE6537A1-D6FC-4f65-9D91-7224C49458BB}"/>
          </c:extLst>
        </c:dLbl>
      </c:pivotFmt>
      <c:pivotFmt>
        <c:idx val="16"/>
        <c:spPr>
          <a:solidFill>
            <a:schemeClr val="accent1"/>
          </a:solidFill>
          <a:ln w="19050">
            <a:solidFill>
              <a:schemeClr val="lt1"/>
            </a:solidFill>
          </a:ln>
          <a:effectLst/>
        </c:spPr>
        <c:dLbl>
          <c:idx val="0"/>
          <c:layout>
            <c:manualLayout>
              <c:x val="-0.17980819601024017"/>
              <c:y val="-0.2638452564069140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0"/>
          <c:showBubbleSize val="0"/>
          <c:extLst>
            <c:ext xmlns:c15="http://schemas.microsoft.com/office/drawing/2012/chart" uri="{CE6537A1-D6FC-4f65-9D91-7224C49458BB}"/>
          </c:extLst>
        </c:dLbl>
      </c:pivotFmt>
      <c:pivotFmt>
        <c:idx val="17"/>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0"/>
          <c:showBubbleSize val="0"/>
          <c:extLst>
            <c:ext xmlns:c15="http://schemas.microsoft.com/office/drawing/2012/chart" uri="{CE6537A1-D6FC-4f65-9D91-7224C49458BB}"/>
          </c:extLst>
        </c:dLbl>
      </c:pivotFmt>
      <c:pivotFmt>
        <c:idx val="18"/>
        <c:spPr>
          <a:solidFill>
            <a:schemeClr val="accent1"/>
          </a:solidFill>
          <a:ln w="19050">
            <a:solidFill>
              <a:schemeClr val="lt1"/>
            </a:solidFill>
          </a:ln>
          <a:effectLst/>
        </c:spPr>
        <c:dLbl>
          <c:idx val="0"/>
          <c:layout>
            <c:manualLayout>
              <c:x val="-0.19206784573821115"/>
              <c:y val="-0.1500296556039315"/>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0"/>
          <c:showBubbleSize val="0"/>
          <c:extLst>
            <c:ext xmlns:c15="http://schemas.microsoft.com/office/drawing/2012/chart" uri="{CE6537A1-D6FC-4f65-9D91-7224C49458BB}"/>
          </c:extLst>
        </c:dLbl>
      </c:pivotFmt>
      <c:pivotFmt>
        <c:idx val="19"/>
        <c:spPr>
          <a:solidFill>
            <a:schemeClr val="accent1"/>
          </a:solidFill>
          <a:ln w="19050">
            <a:solidFill>
              <a:schemeClr val="lt1"/>
            </a:solidFill>
          </a:ln>
          <a:effectLst/>
        </c:spPr>
        <c:dLbl>
          <c:idx val="0"/>
          <c:layout>
            <c:manualLayout>
              <c:x val="-4.9038598911883759E-2"/>
              <c:y val="-0.22763120160596501"/>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0"/>
          <c:showBubbleSize val="0"/>
          <c:extLst>
            <c:ext xmlns:c15="http://schemas.microsoft.com/office/drawing/2012/chart" uri="{CE6537A1-D6FC-4f65-9D91-7224C49458BB}"/>
          </c:extLst>
        </c:dLbl>
      </c:pivotFmt>
      <c:pivotFmt>
        <c:idx val="20"/>
        <c:spPr>
          <a:solidFill>
            <a:schemeClr val="accent1"/>
          </a:solidFill>
          <a:ln w="19050">
            <a:solidFill>
              <a:schemeClr val="lt1"/>
            </a:solidFill>
          </a:ln>
          <a:effectLst/>
        </c:spPr>
        <c:dLbl>
          <c:idx val="0"/>
          <c:layout>
            <c:manualLayout>
              <c:x val="0.14711579673565106"/>
              <c:y val="-0.2328046380061005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0"/>
          <c:showBubbleSize val="0"/>
          <c:extLst>
            <c:ext xmlns:c15="http://schemas.microsoft.com/office/drawing/2012/chart" uri="{CE6537A1-D6FC-4f65-9D91-7224C49458BB}"/>
          </c:extLst>
        </c:dLbl>
      </c:pivotFmt>
      <c:pivotFmt>
        <c:idx val="21"/>
        <c:spPr>
          <a:solidFill>
            <a:schemeClr val="accent1"/>
          </a:solidFill>
          <a:ln w="19050">
            <a:solidFill>
              <a:schemeClr val="lt1"/>
            </a:solidFill>
          </a:ln>
          <a:effectLst/>
        </c:spPr>
        <c:dLbl>
          <c:idx val="0"/>
          <c:layout>
            <c:manualLayout>
              <c:x val="0.17980819601024017"/>
              <c:y val="-0.1138156008029825"/>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0"/>
          <c:showBubbleSize val="0"/>
          <c:extLst>
            <c:ext xmlns:c15="http://schemas.microsoft.com/office/drawing/2012/chart" uri="{CE6537A1-D6FC-4f65-9D91-7224C49458BB}"/>
          </c:extLst>
        </c:dLbl>
      </c:pivotFmt>
      <c:pivotFmt>
        <c:idx val="22"/>
        <c:spPr>
          <a:solidFill>
            <a:schemeClr val="accent1"/>
          </a:solidFill>
          <a:ln w="19050">
            <a:solidFill>
              <a:schemeClr val="lt1"/>
            </a:solidFill>
          </a:ln>
          <a:effectLst/>
        </c:spPr>
        <c:dLbl>
          <c:idx val="0"/>
          <c:layout>
            <c:manualLayout>
              <c:x val="0.20432749546618204"/>
              <c:y val="-3.621405480094897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0"/>
          <c:showBubbleSize val="0"/>
          <c:extLst>
            <c:ext xmlns:c15="http://schemas.microsoft.com/office/drawing/2012/chart" uri="{CE6537A1-D6FC-4f65-9D91-7224C49458BB}"/>
          </c:extLst>
        </c:dLbl>
      </c:pivotFmt>
      <c:pivotFmt>
        <c:idx val="23"/>
        <c:spPr>
          <a:solidFill>
            <a:schemeClr val="accent1"/>
          </a:solidFill>
          <a:ln w="19050">
            <a:solidFill>
              <a:schemeClr val="lt1"/>
            </a:solidFill>
          </a:ln>
          <a:effectLst/>
        </c:spPr>
        <c:dLbl>
          <c:idx val="0"/>
          <c:layout>
            <c:manualLayout>
              <c:x val="0.15528889655429834"/>
              <c:y val="8.794841880230466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0"/>
          <c:showBubbleSize val="0"/>
          <c:extLst>
            <c:ext xmlns:c15="http://schemas.microsoft.com/office/drawing/2012/chart" uri="{CE6537A1-D6FC-4f65-9D91-7224C49458BB}"/>
          </c:extLst>
        </c:dLbl>
      </c:pivotFmt>
      <c:pivotFmt>
        <c:idx val="24"/>
        <c:spPr>
          <a:solidFill>
            <a:schemeClr val="accent1"/>
          </a:solidFill>
          <a:ln w="19050">
            <a:solidFill>
              <a:schemeClr val="lt1"/>
            </a:solidFill>
          </a:ln>
          <a:effectLst/>
        </c:spPr>
        <c:dLbl>
          <c:idx val="0"/>
          <c:layout>
            <c:manualLayout>
              <c:x val="-0.17980819601024017"/>
              <c:y val="-0.2638452564069140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0"/>
          <c:showBubbleSize val="0"/>
          <c:extLst>
            <c:ext xmlns:c15="http://schemas.microsoft.com/office/drawing/2012/chart" uri="{CE6537A1-D6FC-4f65-9D91-7224C49458BB}"/>
          </c:extLst>
        </c:dLbl>
      </c:pivotFmt>
      <c:pivotFmt>
        <c:idx val="2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0"/>
          <c:showBubbleSize val="0"/>
          <c:extLst>
            <c:ext xmlns:c15="http://schemas.microsoft.com/office/drawing/2012/chart" uri="{CE6537A1-D6FC-4f65-9D91-7224C49458BB}"/>
          </c:extLst>
        </c:dLbl>
      </c:pivotFmt>
      <c:pivotFmt>
        <c:idx val="26"/>
        <c:spPr>
          <a:solidFill>
            <a:schemeClr val="accent1"/>
          </a:solidFill>
          <a:ln w="19050">
            <a:solidFill>
              <a:schemeClr val="lt1"/>
            </a:solidFill>
          </a:ln>
          <a:effectLst/>
        </c:spPr>
        <c:dLbl>
          <c:idx val="0"/>
          <c:layout>
            <c:manualLayout>
              <c:x val="-0.19206784573821115"/>
              <c:y val="-0.1500296556039315"/>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0"/>
          <c:showBubbleSize val="0"/>
          <c:extLst>
            <c:ext xmlns:c15="http://schemas.microsoft.com/office/drawing/2012/chart" uri="{CE6537A1-D6FC-4f65-9D91-7224C49458BB}"/>
          </c:extLst>
        </c:dLbl>
      </c:pivotFmt>
      <c:pivotFmt>
        <c:idx val="27"/>
        <c:spPr>
          <a:solidFill>
            <a:schemeClr val="accent1"/>
          </a:solidFill>
          <a:ln w="19050">
            <a:solidFill>
              <a:schemeClr val="lt1"/>
            </a:solidFill>
          </a:ln>
          <a:effectLst/>
        </c:spPr>
        <c:dLbl>
          <c:idx val="0"/>
          <c:layout>
            <c:manualLayout>
              <c:x val="-4.9038598911883759E-2"/>
              <c:y val="-0.22763120160596501"/>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0"/>
          <c:showBubbleSize val="0"/>
          <c:extLst>
            <c:ext xmlns:c15="http://schemas.microsoft.com/office/drawing/2012/chart" uri="{CE6537A1-D6FC-4f65-9D91-7224C49458BB}"/>
          </c:extLst>
        </c:dLbl>
      </c:pivotFmt>
      <c:pivotFmt>
        <c:idx val="28"/>
        <c:spPr>
          <a:solidFill>
            <a:schemeClr val="accent1"/>
          </a:solidFill>
          <a:ln w="19050">
            <a:solidFill>
              <a:schemeClr val="lt1"/>
            </a:solidFill>
          </a:ln>
          <a:effectLst/>
        </c:spPr>
        <c:dLbl>
          <c:idx val="0"/>
          <c:layout>
            <c:manualLayout>
              <c:x val="0.14711579673565106"/>
              <c:y val="-0.2328046380061005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0"/>
          <c:showBubbleSize val="0"/>
          <c:extLst>
            <c:ext xmlns:c15="http://schemas.microsoft.com/office/drawing/2012/chart" uri="{CE6537A1-D6FC-4f65-9D91-7224C49458BB}"/>
          </c:extLst>
        </c:dLbl>
      </c:pivotFmt>
      <c:pivotFmt>
        <c:idx val="29"/>
        <c:spPr>
          <a:solidFill>
            <a:schemeClr val="accent1"/>
          </a:solidFill>
          <a:ln w="19050">
            <a:solidFill>
              <a:schemeClr val="lt1"/>
            </a:solidFill>
          </a:ln>
          <a:effectLst/>
        </c:spPr>
        <c:dLbl>
          <c:idx val="0"/>
          <c:layout>
            <c:manualLayout>
              <c:x val="0.17980819601024017"/>
              <c:y val="-0.1138156008029825"/>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0"/>
          <c:showBubbleSize val="0"/>
          <c:extLst>
            <c:ext xmlns:c15="http://schemas.microsoft.com/office/drawing/2012/chart" uri="{CE6537A1-D6FC-4f65-9D91-7224C49458BB}"/>
          </c:extLst>
        </c:dLbl>
      </c:pivotFmt>
      <c:pivotFmt>
        <c:idx val="30"/>
        <c:spPr>
          <a:solidFill>
            <a:schemeClr val="accent1"/>
          </a:solidFill>
          <a:ln w="19050">
            <a:solidFill>
              <a:schemeClr val="lt1"/>
            </a:solidFill>
          </a:ln>
          <a:effectLst/>
        </c:spPr>
        <c:dLbl>
          <c:idx val="0"/>
          <c:layout>
            <c:manualLayout>
              <c:x val="0.20432749546618204"/>
              <c:y val="-3.621405480094897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0"/>
          <c:showBubbleSize val="0"/>
          <c:extLst>
            <c:ext xmlns:c15="http://schemas.microsoft.com/office/drawing/2012/chart" uri="{CE6537A1-D6FC-4f65-9D91-7224C49458BB}"/>
          </c:extLst>
        </c:dLbl>
      </c:pivotFmt>
      <c:pivotFmt>
        <c:idx val="31"/>
        <c:spPr>
          <a:solidFill>
            <a:schemeClr val="accent1"/>
          </a:solidFill>
          <a:ln w="19050">
            <a:solidFill>
              <a:schemeClr val="lt1"/>
            </a:solidFill>
          </a:ln>
          <a:effectLst/>
        </c:spPr>
        <c:dLbl>
          <c:idx val="0"/>
          <c:layout>
            <c:manualLayout>
              <c:x val="0.15528889655429834"/>
              <c:y val="8.794841880230466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0"/>
          <c:showBubbleSize val="0"/>
          <c:extLst>
            <c:ext xmlns:c15="http://schemas.microsoft.com/office/drawing/2012/chart" uri="{CE6537A1-D6FC-4f65-9D91-7224C49458BB}"/>
          </c:extLst>
        </c:dLbl>
      </c:pivotFmt>
      <c:pivotFmt>
        <c:idx val="32"/>
        <c:spPr>
          <a:solidFill>
            <a:schemeClr val="accent1"/>
          </a:solidFill>
          <a:ln w="19050">
            <a:solidFill>
              <a:schemeClr val="lt1"/>
            </a:solidFill>
          </a:ln>
          <a:effectLst/>
        </c:spPr>
        <c:dLbl>
          <c:idx val="0"/>
          <c:layout>
            <c:manualLayout>
              <c:x val="-0.17980819601024017"/>
              <c:y val="-0.2638452564069140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0"/>
          <c:showBubbleSize val="0"/>
          <c:extLst>
            <c:ext xmlns:c15="http://schemas.microsoft.com/office/drawing/2012/chart" uri="{CE6537A1-D6FC-4f65-9D91-7224C49458BB}"/>
          </c:extLst>
        </c:dLbl>
      </c:pivotFmt>
      <c:pivotFmt>
        <c:idx val="3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0"/>
          <c:showBubbleSize val="0"/>
          <c:extLst>
            <c:ext xmlns:c15="http://schemas.microsoft.com/office/drawing/2012/chart" uri="{CE6537A1-D6FC-4f65-9D91-7224C49458BB}"/>
          </c:extLst>
        </c:dLbl>
      </c:pivotFmt>
      <c:pivotFmt>
        <c:idx val="34"/>
        <c:spPr>
          <a:solidFill>
            <a:schemeClr val="accent1"/>
          </a:solidFill>
          <a:ln w="19050">
            <a:solidFill>
              <a:schemeClr val="lt1"/>
            </a:solidFill>
          </a:ln>
          <a:effectLst/>
        </c:spPr>
        <c:dLbl>
          <c:idx val="0"/>
          <c:layout>
            <c:manualLayout>
              <c:x val="-0.19206784573821115"/>
              <c:y val="-0.1500296556039315"/>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0"/>
          <c:showBubbleSize val="0"/>
          <c:extLst>
            <c:ext xmlns:c15="http://schemas.microsoft.com/office/drawing/2012/chart" uri="{CE6537A1-D6FC-4f65-9D91-7224C49458BB}"/>
          </c:extLst>
        </c:dLbl>
      </c:pivotFmt>
      <c:pivotFmt>
        <c:idx val="35"/>
        <c:spPr>
          <a:solidFill>
            <a:schemeClr val="accent1"/>
          </a:solidFill>
          <a:ln w="19050">
            <a:solidFill>
              <a:schemeClr val="lt1"/>
            </a:solidFill>
          </a:ln>
          <a:effectLst/>
        </c:spPr>
        <c:dLbl>
          <c:idx val="0"/>
          <c:layout>
            <c:manualLayout>
              <c:x val="-4.9038598911883759E-2"/>
              <c:y val="-0.22763120160596501"/>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0"/>
          <c:showBubbleSize val="0"/>
          <c:extLst>
            <c:ext xmlns:c15="http://schemas.microsoft.com/office/drawing/2012/chart" uri="{CE6537A1-D6FC-4f65-9D91-7224C49458BB}"/>
          </c:extLst>
        </c:dLbl>
      </c:pivotFmt>
      <c:pivotFmt>
        <c:idx val="36"/>
        <c:spPr>
          <a:solidFill>
            <a:schemeClr val="accent1"/>
          </a:solidFill>
          <a:ln w="19050">
            <a:solidFill>
              <a:schemeClr val="lt1"/>
            </a:solidFill>
          </a:ln>
          <a:effectLst/>
        </c:spPr>
        <c:dLbl>
          <c:idx val="0"/>
          <c:layout>
            <c:manualLayout>
              <c:x val="0.14711579673565106"/>
              <c:y val="-0.2328046380061005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0"/>
          <c:showBubbleSize val="0"/>
          <c:extLst>
            <c:ext xmlns:c15="http://schemas.microsoft.com/office/drawing/2012/chart" uri="{CE6537A1-D6FC-4f65-9D91-7224C49458BB}"/>
          </c:extLst>
        </c:dLbl>
      </c:pivotFmt>
      <c:pivotFmt>
        <c:idx val="37"/>
        <c:spPr>
          <a:solidFill>
            <a:schemeClr val="accent1"/>
          </a:solidFill>
          <a:ln w="19050">
            <a:solidFill>
              <a:schemeClr val="lt1"/>
            </a:solidFill>
          </a:ln>
          <a:effectLst/>
        </c:spPr>
        <c:dLbl>
          <c:idx val="0"/>
          <c:layout>
            <c:manualLayout>
              <c:x val="0.17980819601024017"/>
              <c:y val="-0.1138156008029825"/>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0"/>
          <c:showBubbleSize val="0"/>
          <c:extLst>
            <c:ext xmlns:c15="http://schemas.microsoft.com/office/drawing/2012/chart" uri="{CE6537A1-D6FC-4f65-9D91-7224C49458BB}"/>
          </c:extLst>
        </c:dLbl>
      </c:pivotFmt>
      <c:pivotFmt>
        <c:idx val="38"/>
        <c:spPr>
          <a:solidFill>
            <a:schemeClr val="accent1"/>
          </a:solidFill>
          <a:ln w="19050">
            <a:solidFill>
              <a:schemeClr val="lt1"/>
            </a:solidFill>
          </a:ln>
          <a:effectLst/>
        </c:spPr>
        <c:dLbl>
          <c:idx val="0"/>
          <c:layout>
            <c:manualLayout>
              <c:x val="0.20432749546618204"/>
              <c:y val="-3.621405480094897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0"/>
          <c:showBubbleSize val="0"/>
          <c:extLst>
            <c:ext xmlns:c15="http://schemas.microsoft.com/office/drawing/2012/chart" uri="{CE6537A1-D6FC-4f65-9D91-7224C49458BB}"/>
          </c:extLst>
        </c:dLbl>
      </c:pivotFmt>
      <c:pivotFmt>
        <c:idx val="39"/>
        <c:spPr>
          <a:solidFill>
            <a:schemeClr val="accent1"/>
          </a:solidFill>
          <a:ln w="19050">
            <a:solidFill>
              <a:schemeClr val="lt1"/>
            </a:solidFill>
          </a:ln>
          <a:effectLst/>
        </c:spPr>
        <c:dLbl>
          <c:idx val="0"/>
          <c:layout>
            <c:manualLayout>
              <c:x val="0.15528889655429834"/>
              <c:y val="8.794841880230466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0"/>
          <c:showBubbleSize val="0"/>
          <c:extLst>
            <c:ext xmlns:c15="http://schemas.microsoft.com/office/drawing/2012/chart" uri="{CE6537A1-D6FC-4f65-9D91-7224C49458BB}"/>
          </c:extLst>
        </c:dLbl>
      </c:pivotFmt>
      <c:pivotFmt>
        <c:idx val="40"/>
        <c:spPr>
          <a:solidFill>
            <a:schemeClr val="accent1"/>
          </a:solidFill>
          <a:ln w="19050">
            <a:solidFill>
              <a:schemeClr val="lt1"/>
            </a:solidFill>
          </a:ln>
          <a:effectLst/>
        </c:spPr>
        <c:dLbl>
          <c:idx val="0"/>
          <c:layout>
            <c:manualLayout>
              <c:x val="-0.17980819601024017"/>
              <c:y val="-0.2638452564069140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0"/>
          <c:showBubbleSize val="0"/>
          <c:extLst>
            <c:ext xmlns:c15="http://schemas.microsoft.com/office/drawing/2012/chart" uri="{CE6537A1-D6FC-4f65-9D91-7224C49458BB}"/>
          </c:extLst>
        </c:dLbl>
      </c:pivotFmt>
      <c:pivotFmt>
        <c:idx val="4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0"/>
          <c:showBubbleSize val="0"/>
          <c:extLst>
            <c:ext xmlns:c15="http://schemas.microsoft.com/office/drawing/2012/chart" uri="{CE6537A1-D6FC-4f65-9D91-7224C49458BB}"/>
          </c:extLst>
        </c:dLbl>
      </c:pivotFmt>
      <c:pivotFmt>
        <c:idx val="42"/>
        <c:spPr>
          <a:solidFill>
            <a:schemeClr val="accent1"/>
          </a:solidFill>
          <a:ln w="19050">
            <a:solidFill>
              <a:schemeClr val="lt1"/>
            </a:solidFill>
          </a:ln>
          <a:effectLst/>
        </c:spPr>
      </c:pivotFmt>
      <c:pivotFmt>
        <c:idx val="43"/>
        <c:spPr>
          <a:solidFill>
            <a:schemeClr val="accent1"/>
          </a:solidFill>
          <a:ln w="19050">
            <a:solidFill>
              <a:schemeClr val="lt1"/>
            </a:solidFill>
          </a:ln>
          <a:effectLst/>
        </c:spPr>
        <c:dLbl>
          <c:idx val="0"/>
          <c:layout>
            <c:manualLayout>
              <c:x val="-4.9038598911883759E-2"/>
              <c:y val="-0.22763120160596501"/>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0"/>
          <c:showBubbleSize val="0"/>
          <c:extLst>
            <c:ext xmlns:c15="http://schemas.microsoft.com/office/drawing/2012/chart" uri="{CE6537A1-D6FC-4f65-9D91-7224C49458BB}"/>
          </c:extLst>
        </c:dLbl>
      </c:pivotFmt>
      <c:pivotFmt>
        <c:idx val="44"/>
        <c:spPr>
          <a:solidFill>
            <a:schemeClr val="accent1"/>
          </a:solidFill>
          <a:ln w="19050">
            <a:solidFill>
              <a:schemeClr val="lt1"/>
            </a:solidFill>
          </a:ln>
          <a:effectLst/>
        </c:spPr>
      </c:pivotFmt>
      <c:pivotFmt>
        <c:idx val="45"/>
        <c:spPr>
          <a:solidFill>
            <a:schemeClr val="accent1"/>
          </a:solidFill>
          <a:ln w="19050">
            <a:solidFill>
              <a:schemeClr val="lt1"/>
            </a:solidFill>
          </a:ln>
          <a:effectLst/>
        </c:spPr>
        <c:dLbl>
          <c:idx val="0"/>
          <c:layout>
            <c:manualLayout>
              <c:x val="0.17980819601024017"/>
              <c:y val="-0.1138156008029825"/>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0"/>
          <c:showBubbleSize val="0"/>
          <c:extLst>
            <c:ext xmlns:c15="http://schemas.microsoft.com/office/drawing/2012/chart" uri="{CE6537A1-D6FC-4f65-9D91-7224C49458BB}"/>
          </c:extLst>
        </c:dLbl>
      </c:pivotFmt>
      <c:pivotFmt>
        <c:idx val="46"/>
        <c:spPr>
          <a:solidFill>
            <a:schemeClr val="accent1"/>
          </a:solidFill>
          <a:ln w="19050">
            <a:solidFill>
              <a:schemeClr val="lt1"/>
            </a:solidFill>
          </a:ln>
          <a:effectLst/>
        </c:spPr>
        <c:dLbl>
          <c:idx val="0"/>
          <c:layout>
            <c:manualLayout>
              <c:x val="0.20432749546618204"/>
              <c:y val="-3.621405480094897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0"/>
          <c:showBubbleSize val="0"/>
          <c:extLst>
            <c:ext xmlns:c15="http://schemas.microsoft.com/office/drawing/2012/chart" uri="{CE6537A1-D6FC-4f65-9D91-7224C49458BB}"/>
          </c:extLst>
        </c:dLbl>
      </c:pivotFmt>
      <c:pivotFmt>
        <c:idx val="47"/>
        <c:spPr>
          <a:solidFill>
            <a:schemeClr val="accent1"/>
          </a:solidFill>
          <a:ln w="19050">
            <a:solidFill>
              <a:schemeClr val="lt1"/>
            </a:solidFill>
          </a:ln>
          <a:effectLst/>
        </c:spPr>
      </c:pivotFmt>
      <c:pivotFmt>
        <c:idx val="48"/>
        <c:spPr>
          <a:solidFill>
            <a:schemeClr val="accent1"/>
          </a:solidFill>
          <a:ln w="19050">
            <a:solidFill>
              <a:schemeClr val="lt1"/>
            </a:solidFill>
          </a:ln>
          <a:effectLst/>
        </c:spPr>
      </c:pivotFmt>
      <c:pivotFmt>
        <c:idx val="49"/>
        <c:spPr>
          <a:solidFill>
            <a:schemeClr val="accent1"/>
          </a:solidFill>
          <a:ln w="19050">
            <a:solidFill>
              <a:schemeClr val="lt1"/>
            </a:solidFill>
          </a:ln>
          <a:effectLst/>
        </c:spPr>
      </c:pivotFmt>
      <c:pivotFmt>
        <c:idx val="50"/>
        <c:spPr>
          <a:solidFill>
            <a:schemeClr val="accent1"/>
          </a:solidFill>
          <a:ln w="19050">
            <a:solidFill>
              <a:schemeClr val="lt1"/>
            </a:solidFill>
          </a:ln>
          <a:effectLst/>
        </c:spPr>
      </c:pivotFmt>
      <c:pivotFmt>
        <c:idx val="51"/>
        <c:spPr>
          <a:solidFill>
            <a:schemeClr val="accent1"/>
          </a:solidFill>
          <a:ln w="19050">
            <a:solidFill>
              <a:schemeClr val="lt1"/>
            </a:solidFill>
          </a:ln>
          <a:effectLst/>
        </c:spPr>
      </c:pivotFmt>
    </c:pivotFmts>
    <c:plotArea>
      <c:layout>
        <c:manualLayout>
          <c:layoutTarget val="inner"/>
          <c:xMode val="edge"/>
          <c:yMode val="edge"/>
          <c:x val="0.26962466916294037"/>
          <c:y val="0.21631003389291589"/>
          <c:w val="0.56992601735786208"/>
          <c:h val="0.75658103258116238"/>
        </c:manualLayout>
      </c:layout>
      <c:doughnutChart>
        <c:varyColors val="1"/>
        <c:ser>
          <c:idx val="0"/>
          <c:order val="0"/>
          <c:tx>
            <c:strRef>
              <c:f>Sheet2!$F$14</c:f>
              <c:strCache>
                <c:ptCount val="1"/>
                <c:pt idx="0">
                  <c:v>Total</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dPt>
            <c:idx val="3"/>
            <c:bubble3D val="0"/>
            <c:spPr>
              <a:solidFill>
                <a:schemeClr val="accent4"/>
              </a:solidFill>
              <a:ln w="19050">
                <a:solidFill>
                  <a:schemeClr val="lt1"/>
                </a:solidFill>
              </a:ln>
              <a:effectLst/>
            </c:spPr>
          </c:dPt>
          <c:dPt>
            <c:idx val="4"/>
            <c:bubble3D val="0"/>
            <c:spPr>
              <a:solidFill>
                <a:schemeClr val="accent5"/>
              </a:solidFill>
              <a:ln w="19050">
                <a:solidFill>
                  <a:schemeClr val="lt1"/>
                </a:solidFill>
              </a:ln>
              <a:effectLst/>
            </c:spPr>
          </c:dPt>
          <c:dPt>
            <c:idx val="5"/>
            <c:bubble3D val="0"/>
            <c:spPr>
              <a:solidFill>
                <a:schemeClr val="accent6"/>
              </a:solidFill>
              <a:ln w="19050">
                <a:solidFill>
                  <a:schemeClr val="lt1"/>
                </a:solidFill>
              </a:ln>
              <a:effectLst/>
            </c:spPr>
          </c:dPt>
          <c:dPt>
            <c:idx val="6"/>
            <c:bubble3D val="0"/>
            <c:spPr>
              <a:solidFill>
                <a:schemeClr val="accent1">
                  <a:lumMod val="60000"/>
                </a:schemeClr>
              </a:solidFill>
              <a:ln w="19050">
                <a:solidFill>
                  <a:schemeClr val="lt1"/>
                </a:solidFill>
              </a:ln>
              <a:effectLst/>
            </c:spPr>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Sheet2!$E$15:$E$22</c:f>
              <c:strCache>
                <c:ptCount val="7"/>
                <c:pt idx="0">
                  <c:v>Bakery</c:v>
                </c:pt>
                <c:pt idx="1">
                  <c:v>Fruits</c:v>
                </c:pt>
                <c:pt idx="2">
                  <c:v>Beverages</c:v>
                </c:pt>
                <c:pt idx="3">
                  <c:v>Grains</c:v>
                </c:pt>
                <c:pt idx="4">
                  <c:v>Oils</c:v>
                </c:pt>
                <c:pt idx="5">
                  <c:v>Dairy</c:v>
                </c:pt>
                <c:pt idx="6">
                  <c:v>Seafood</c:v>
                </c:pt>
              </c:strCache>
            </c:strRef>
          </c:cat>
          <c:val>
            <c:numRef>
              <c:f>Sheet2!$F$15:$F$22</c:f>
              <c:numCache>
                <c:formatCode>General</c:formatCode>
                <c:ptCount val="7"/>
                <c:pt idx="0">
                  <c:v>15931.900000000001</c:v>
                </c:pt>
                <c:pt idx="1">
                  <c:v>20032.609999999997</c:v>
                </c:pt>
                <c:pt idx="2">
                  <c:v>23341.8</c:v>
                </c:pt>
                <c:pt idx="3">
                  <c:v>30052.58</c:v>
                </c:pt>
                <c:pt idx="4">
                  <c:v>65177.02</c:v>
                </c:pt>
                <c:pt idx="5">
                  <c:v>83495.489999999991</c:v>
                </c:pt>
                <c:pt idx="6">
                  <c:v>459130.10000000003</c:v>
                </c:pt>
              </c:numCache>
            </c:numRef>
          </c:val>
          <c:extLst>
            <c:ext xmlns:c16="http://schemas.microsoft.com/office/drawing/2014/chart" uri="{C3380CC4-5D6E-409C-BE32-E72D297353CC}">
              <c16:uniqueId val="{00000011-AFDF-43F8-9AC8-001EEFFB6503}"/>
            </c:ext>
          </c:extLst>
        </c:ser>
        <c:dLbls>
          <c:showLegendKey val="0"/>
          <c:showVal val="0"/>
          <c:showCatName val="1"/>
          <c:showSerName val="0"/>
          <c:showPercent val="0"/>
          <c:showBubbleSize val="0"/>
          <c:showLeaderLines val="1"/>
        </c:dLbls>
        <c:firstSliceAng val="0"/>
        <c:holeSize val="5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1" i="0" u="none" strike="noStrike" baseline="0"/>
              <a:t>Fast-Moving vs Slow-Moving Products</a:t>
            </a:r>
            <a:endParaRPr lang="en-US"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0.16645401023277492"/>
          <c:y val="0.16747159464623343"/>
          <c:w val="0.76844349865937156"/>
          <c:h val="0.63203520919950196"/>
        </c:manualLayout>
      </c:layout>
      <c:scatterChart>
        <c:scatterStyle val="lineMarker"/>
        <c:varyColors val="0"/>
        <c:dLbls>
          <c:showLegendKey val="0"/>
          <c:showVal val="0"/>
          <c:showCatName val="0"/>
          <c:showSerName val="0"/>
          <c:showPercent val="0"/>
          <c:showBubbleSize val="0"/>
        </c:dLbls>
        <c:axId val="1170851439"/>
        <c:axId val="1170852399"/>
      </c:scatterChart>
      <c:valAx>
        <c:axId val="1170851439"/>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sz="1000" b="1" i="0" u="none" strike="noStrike" baseline="0"/>
                  <a:t>Average Daily Demand (Units)</a:t>
                </a:r>
                <a:endParaRPr lang="en-IN" b="1"/>
              </a:p>
            </c:rich>
          </c:tx>
          <c:layout>
            <c:manualLayout>
              <c:xMode val="edge"/>
              <c:yMode val="edge"/>
              <c:x val="0.2895505028173892"/>
              <c:y val="0.90876866640072751"/>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IN"/>
            </a:p>
          </c:txPr>
        </c:title>
        <c:numFmt formatCode="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70852399"/>
        <c:crosses val="autoZero"/>
        <c:crossBetween val="midCat"/>
      </c:valAx>
      <c:valAx>
        <c:axId val="1170852399"/>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sz="1000" b="1" i="0" u="none" strike="noStrike" baseline="0"/>
                  <a:t>Unit Cost ($)</a:t>
                </a:r>
                <a:endParaRPr lang="en-IN"/>
              </a:p>
            </c:rich>
          </c:tx>
          <c:layout>
            <c:manualLayout>
              <c:xMode val="edge"/>
              <c:yMode val="edge"/>
              <c:x val="4.7025459963015638E-2"/>
              <c:y val="0.20625106215651015"/>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IN"/>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70851439"/>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[Inventory_Management_and_Reorder_Optimization_Excel.xlsx]Sheet2!PivotTable3</c:name>
    <c:fmtId val="4"/>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002060"/>
          </a:solidFill>
          <a:ln w="60325" cap="flat">
            <a:solidFill>
              <a:srgbClr val="002060"/>
            </a:solidFill>
            <a:miter lim="800000"/>
          </a:ln>
          <a:effectLst>
            <a:outerShdw blurRad="50800" dist="50800" dir="5400000" sx="1000" sy="1000" algn="ctr" rotWithShape="0">
              <a:srgbClr val="000000">
                <a:alpha val="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3162594999785743"/>
          <c:y val="5.9500000000000018E-2"/>
          <c:w val="0.72763885465250222"/>
          <c:h val="0.83505332856120262"/>
        </c:manualLayout>
      </c:layout>
      <c:barChart>
        <c:barDir val="bar"/>
        <c:grouping val="clustered"/>
        <c:varyColors val="0"/>
        <c:ser>
          <c:idx val="0"/>
          <c:order val="0"/>
          <c:tx>
            <c:strRef>
              <c:f>Sheet2!$F$48</c:f>
              <c:strCache>
                <c:ptCount val="1"/>
                <c:pt idx="0">
                  <c:v>Total</c:v>
                </c:pt>
              </c:strCache>
            </c:strRef>
          </c:tx>
          <c:spPr>
            <a:solidFill>
              <a:srgbClr val="002060"/>
            </a:solidFill>
            <a:ln w="60325" cap="flat">
              <a:solidFill>
                <a:srgbClr val="002060"/>
              </a:solidFill>
              <a:miter lim="800000"/>
            </a:ln>
            <a:effectLst>
              <a:outerShdw blurRad="50800" dist="50800" dir="5400000" sx="1000" sy="1000" algn="ctr" rotWithShape="0">
                <a:srgbClr val="000000">
                  <a:alpha val="0"/>
                </a:srgbClr>
              </a:outerShdw>
            </a:effectLst>
          </c:spPr>
          <c:invertIfNegative val="0"/>
          <c:cat>
            <c:strRef>
              <c:f>Sheet2!$E$49:$E$56</c:f>
              <c:strCache>
                <c:ptCount val="7"/>
                <c:pt idx="0">
                  <c:v>Grains</c:v>
                </c:pt>
                <c:pt idx="1">
                  <c:v>Beverages</c:v>
                </c:pt>
                <c:pt idx="2">
                  <c:v>Bakery</c:v>
                </c:pt>
                <c:pt idx="3">
                  <c:v>Fruits</c:v>
                </c:pt>
                <c:pt idx="4">
                  <c:v>Oils</c:v>
                </c:pt>
                <c:pt idx="5">
                  <c:v>Dairy</c:v>
                </c:pt>
                <c:pt idx="6">
                  <c:v>Seafood</c:v>
                </c:pt>
              </c:strCache>
            </c:strRef>
          </c:cat>
          <c:val>
            <c:numRef>
              <c:f>Sheet2!$F$49:$F$56</c:f>
              <c:numCache>
                <c:formatCode>General</c:formatCode>
                <c:ptCount val="7"/>
                <c:pt idx="0">
                  <c:v>315.79523809523812</c:v>
                </c:pt>
                <c:pt idx="1">
                  <c:v>343.91666666666669</c:v>
                </c:pt>
                <c:pt idx="2">
                  <c:v>392.73333333333335</c:v>
                </c:pt>
                <c:pt idx="3">
                  <c:v>876.55238095238099</c:v>
                </c:pt>
                <c:pt idx="4">
                  <c:v>932.98888888888882</c:v>
                </c:pt>
                <c:pt idx="5">
                  <c:v>1804.9773809523808</c:v>
                </c:pt>
                <c:pt idx="6">
                  <c:v>1886.2666666666667</c:v>
                </c:pt>
              </c:numCache>
            </c:numRef>
          </c:val>
          <c:extLst>
            <c:ext xmlns:c16="http://schemas.microsoft.com/office/drawing/2014/chart" uri="{C3380CC4-5D6E-409C-BE32-E72D297353CC}">
              <c16:uniqueId val="{00000000-69E7-4541-A606-95C845E965E3}"/>
            </c:ext>
          </c:extLst>
        </c:ser>
        <c:dLbls>
          <c:showLegendKey val="0"/>
          <c:showVal val="0"/>
          <c:showCatName val="0"/>
          <c:showSerName val="0"/>
          <c:showPercent val="0"/>
          <c:showBubbleSize val="0"/>
        </c:dLbls>
        <c:gapWidth val="182"/>
        <c:axId val="785580400"/>
        <c:axId val="785585680"/>
      </c:barChart>
      <c:catAx>
        <c:axId val="78558040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Poppins" panose="00000800000000000000" pitchFamily="2" charset="0"/>
              </a:defRPr>
            </a:pPr>
            <a:endParaRPr lang="en-US"/>
          </a:p>
        </c:txPr>
        <c:crossAx val="785585680"/>
        <c:crosses val="autoZero"/>
        <c:auto val="1"/>
        <c:lblAlgn val="ctr"/>
        <c:lblOffset val="100"/>
        <c:noMultiLvlLbl val="0"/>
      </c:catAx>
      <c:valAx>
        <c:axId val="785585680"/>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crossAx val="78558040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1" i="0" u="none" strike="noStrike" baseline="0">
                <a:solidFill>
                  <a:schemeClr val="tx1">
                    <a:lumMod val="50000"/>
                    <a:lumOff val="50000"/>
                  </a:schemeClr>
                </a:solidFill>
              </a:rPr>
              <a:t>Fast-Moving vs High-Value Products</a:t>
            </a:r>
            <a:endParaRPr lang="en-US" sz="1400" b="1" i="0" u="none" strike="noStrike" kern="1200" spc="0" baseline="0">
              <a:solidFill>
                <a:schemeClr val="tx1">
                  <a:lumMod val="50000"/>
                  <a:lumOff val="50000"/>
                </a:schemeClr>
              </a:solidFill>
            </a:endParaRPr>
          </a:p>
        </c:rich>
      </c:tx>
      <c:layout>
        <c:manualLayout>
          <c:xMode val="edge"/>
          <c:yMode val="edge"/>
          <c:x val="0.20064685558711451"/>
          <c:y val="9.0799289432921662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Sheet2!$F$238</c:f>
              <c:strCache>
                <c:ptCount val="1"/>
                <c:pt idx="0">
                  <c:v>Sum of Unit_Cost</c:v>
                </c:pt>
              </c:strCache>
            </c:strRef>
          </c:tx>
          <c:spPr>
            <a:ln w="19050" cap="rnd">
              <a:noFill/>
              <a:round/>
            </a:ln>
            <a:effectLst/>
          </c:spPr>
          <c:marker>
            <c:symbol val="circle"/>
            <c:size val="4"/>
            <c:spPr>
              <a:solidFill>
                <a:srgbClr val="002060"/>
              </a:solidFill>
              <a:ln w="3175">
                <a:noFill/>
              </a:ln>
              <a:effectLst/>
            </c:spPr>
          </c:marker>
          <c:xVal>
            <c:numRef>
              <c:f>Sheet2!$E$239:$E$359</c:f>
              <c:numCache>
                <c:formatCode>General</c:formatCode>
                <c:ptCount val="121"/>
                <c:pt idx="0">
                  <c:v>69</c:v>
                </c:pt>
                <c:pt idx="1">
                  <c:v>56</c:v>
                </c:pt>
                <c:pt idx="2">
                  <c:v>39</c:v>
                </c:pt>
                <c:pt idx="3">
                  <c:v>60.666666666666664</c:v>
                </c:pt>
                <c:pt idx="4">
                  <c:v>57.75</c:v>
                </c:pt>
                <c:pt idx="5">
                  <c:v>61.333333333333336</c:v>
                </c:pt>
                <c:pt idx="6">
                  <c:v>22.5</c:v>
                </c:pt>
                <c:pt idx="7">
                  <c:v>48.666666666666664</c:v>
                </c:pt>
                <c:pt idx="8">
                  <c:v>81.333333333333329</c:v>
                </c:pt>
                <c:pt idx="9">
                  <c:v>51.428571428571431</c:v>
                </c:pt>
                <c:pt idx="10">
                  <c:v>41.5</c:v>
                </c:pt>
                <c:pt idx="11">
                  <c:v>47.6</c:v>
                </c:pt>
                <c:pt idx="12">
                  <c:v>37</c:v>
                </c:pt>
                <c:pt idx="13">
                  <c:v>51.666666666666664</c:v>
                </c:pt>
                <c:pt idx="14">
                  <c:v>36.666666666666664</c:v>
                </c:pt>
                <c:pt idx="15">
                  <c:v>39</c:v>
                </c:pt>
                <c:pt idx="16">
                  <c:v>49</c:v>
                </c:pt>
                <c:pt idx="17">
                  <c:v>78.333333333333329</c:v>
                </c:pt>
                <c:pt idx="18">
                  <c:v>63.285714285714285</c:v>
                </c:pt>
                <c:pt idx="19">
                  <c:v>51.25</c:v>
                </c:pt>
                <c:pt idx="20">
                  <c:v>35.5</c:v>
                </c:pt>
                <c:pt idx="21">
                  <c:v>62.666666666666664</c:v>
                </c:pt>
                <c:pt idx="22">
                  <c:v>72.166666666666671</c:v>
                </c:pt>
                <c:pt idx="23">
                  <c:v>41</c:v>
                </c:pt>
                <c:pt idx="24">
                  <c:v>50.4</c:v>
                </c:pt>
                <c:pt idx="25">
                  <c:v>63</c:v>
                </c:pt>
                <c:pt idx="26">
                  <c:v>50.833333333333336</c:v>
                </c:pt>
                <c:pt idx="27">
                  <c:v>36.5</c:v>
                </c:pt>
                <c:pt idx="28">
                  <c:v>64.666666666666671</c:v>
                </c:pt>
                <c:pt idx="29">
                  <c:v>45.25</c:v>
                </c:pt>
                <c:pt idx="30">
                  <c:v>36.5</c:v>
                </c:pt>
                <c:pt idx="31">
                  <c:v>48.333333333333336</c:v>
                </c:pt>
                <c:pt idx="32">
                  <c:v>78</c:v>
                </c:pt>
                <c:pt idx="33">
                  <c:v>55</c:v>
                </c:pt>
                <c:pt idx="34">
                  <c:v>62.8</c:v>
                </c:pt>
                <c:pt idx="35">
                  <c:v>45</c:v>
                </c:pt>
                <c:pt idx="36">
                  <c:v>85.166666666666671</c:v>
                </c:pt>
                <c:pt idx="37">
                  <c:v>70.333333333333329</c:v>
                </c:pt>
                <c:pt idx="38">
                  <c:v>59.375</c:v>
                </c:pt>
                <c:pt idx="39">
                  <c:v>55</c:v>
                </c:pt>
                <c:pt idx="40">
                  <c:v>51.6</c:v>
                </c:pt>
                <c:pt idx="41">
                  <c:v>46.333333333333336</c:v>
                </c:pt>
                <c:pt idx="42">
                  <c:v>59.2</c:v>
                </c:pt>
                <c:pt idx="43">
                  <c:v>39</c:v>
                </c:pt>
                <c:pt idx="44">
                  <c:v>44.375</c:v>
                </c:pt>
                <c:pt idx="45">
                  <c:v>76.2</c:v>
                </c:pt>
                <c:pt idx="46">
                  <c:v>57</c:v>
                </c:pt>
                <c:pt idx="47">
                  <c:v>53.666666666666664</c:v>
                </c:pt>
                <c:pt idx="48">
                  <c:v>46.75</c:v>
                </c:pt>
                <c:pt idx="49">
                  <c:v>56.75</c:v>
                </c:pt>
                <c:pt idx="50">
                  <c:v>67</c:v>
                </c:pt>
                <c:pt idx="51">
                  <c:v>87</c:v>
                </c:pt>
                <c:pt idx="52">
                  <c:v>49.333333333333336</c:v>
                </c:pt>
                <c:pt idx="53">
                  <c:v>56.833333333333336</c:v>
                </c:pt>
                <c:pt idx="54">
                  <c:v>33.428571428571431</c:v>
                </c:pt>
                <c:pt idx="55">
                  <c:v>68.75</c:v>
                </c:pt>
                <c:pt idx="56">
                  <c:v>61.666666666666664</c:v>
                </c:pt>
                <c:pt idx="57">
                  <c:v>65.666666666666671</c:v>
                </c:pt>
                <c:pt idx="58">
                  <c:v>49.142857142857146</c:v>
                </c:pt>
                <c:pt idx="59">
                  <c:v>60</c:v>
                </c:pt>
                <c:pt idx="60">
                  <c:v>71</c:v>
                </c:pt>
                <c:pt idx="61">
                  <c:v>49.6</c:v>
                </c:pt>
                <c:pt idx="62">
                  <c:v>59</c:v>
                </c:pt>
                <c:pt idx="63">
                  <c:v>54.25</c:v>
                </c:pt>
                <c:pt idx="64">
                  <c:v>81.285714285714292</c:v>
                </c:pt>
                <c:pt idx="65">
                  <c:v>56.25</c:v>
                </c:pt>
                <c:pt idx="66">
                  <c:v>57</c:v>
                </c:pt>
                <c:pt idx="67">
                  <c:v>54.875</c:v>
                </c:pt>
                <c:pt idx="68">
                  <c:v>50.333333333333336</c:v>
                </c:pt>
                <c:pt idx="69">
                  <c:v>53.166666666666664</c:v>
                </c:pt>
                <c:pt idx="70">
                  <c:v>58</c:v>
                </c:pt>
                <c:pt idx="71">
                  <c:v>58.222222222222221</c:v>
                </c:pt>
                <c:pt idx="72">
                  <c:v>62.666666666666664</c:v>
                </c:pt>
                <c:pt idx="73">
                  <c:v>77</c:v>
                </c:pt>
                <c:pt idx="74">
                  <c:v>52.5</c:v>
                </c:pt>
                <c:pt idx="75">
                  <c:v>42.666666666666664</c:v>
                </c:pt>
                <c:pt idx="76">
                  <c:v>66.25</c:v>
                </c:pt>
                <c:pt idx="77">
                  <c:v>53.75</c:v>
                </c:pt>
                <c:pt idx="78">
                  <c:v>53.2</c:v>
                </c:pt>
                <c:pt idx="79">
                  <c:v>56</c:v>
                </c:pt>
                <c:pt idx="80">
                  <c:v>53.75</c:v>
                </c:pt>
                <c:pt idx="81">
                  <c:v>42.25</c:v>
                </c:pt>
                <c:pt idx="82">
                  <c:v>41.166666666666664</c:v>
                </c:pt>
                <c:pt idx="83">
                  <c:v>70</c:v>
                </c:pt>
                <c:pt idx="84">
                  <c:v>0</c:v>
                </c:pt>
                <c:pt idx="85">
                  <c:v>53.8</c:v>
                </c:pt>
                <c:pt idx="86">
                  <c:v>68.333333333333329</c:v>
                </c:pt>
                <c:pt idx="87">
                  <c:v>65</c:v>
                </c:pt>
                <c:pt idx="88">
                  <c:v>56.6</c:v>
                </c:pt>
                <c:pt idx="89">
                  <c:v>63.333333333333336</c:v>
                </c:pt>
                <c:pt idx="90">
                  <c:v>48.333333333333336</c:v>
                </c:pt>
                <c:pt idx="91">
                  <c:v>67.333333333333329</c:v>
                </c:pt>
                <c:pt idx="92">
                  <c:v>40.428571428571431</c:v>
                </c:pt>
                <c:pt idx="93">
                  <c:v>55.8</c:v>
                </c:pt>
                <c:pt idx="94">
                  <c:v>51.25</c:v>
                </c:pt>
                <c:pt idx="95">
                  <c:v>81.666666666666671</c:v>
                </c:pt>
                <c:pt idx="96">
                  <c:v>48.166666666666664</c:v>
                </c:pt>
                <c:pt idx="97">
                  <c:v>57</c:v>
                </c:pt>
                <c:pt idx="98">
                  <c:v>45.666666666666664</c:v>
                </c:pt>
                <c:pt idx="99">
                  <c:v>56.5</c:v>
                </c:pt>
                <c:pt idx="100">
                  <c:v>18</c:v>
                </c:pt>
                <c:pt idx="101">
                  <c:v>44.333333333333336</c:v>
                </c:pt>
                <c:pt idx="102">
                  <c:v>55</c:v>
                </c:pt>
                <c:pt idx="103">
                  <c:v>36</c:v>
                </c:pt>
                <c:pt idx="104">
                  <c:v>24</c:v>
                </c:pt>
                <c:pt idx="105">
                  <c:v>48.25</c:v>
                </c:pt>
                <c:pt idx="106">
                  <c:v>71.666666666666671</c:v>
                </c:pt>
                <c:pt idx="107">
                  <c:v>73.166666666666671</c:v>
                </c:pt>
                <c:pt idx="108">
                  <c:v>48.25</c:v>
                </c:pt>
                <c:pt idx="109">
                  <c:v>43.6</c:v>
                </c:pt>
                <c:pt idx="110">
                  <c:v>81</c:v>
                </c:pt>
                <c:pt idx="111">
                  <c:v>36.333333333333336</c:v>
                </c:pt>
                <c:pt idx="112">
                  <c:v>70</c:v>
                </c:pt>
                <c:pt idx="113">
                  <c:v>44</c:v>
                </c:pt>
                <c:pt idx="114">
                  <c:v>0</c:v>
                </c:pt>
                <c:pt idx="115">
                  <c:v>55.8</c:v>
                </c:pt>
                <c:pt idx="116">
                  <c:v>55</c:v>
                </c:pt>
                <c:pt idx="117">
                  <c:v>61.25</c:v>
                </c:pt>
                <c:pt idx="118">
                  <c:v>31.75</c:v>
                </c:pt>
                <c:pt idx="119">
                  <c:v>57.6</c:v>
                </c:pt>
                <c:pt idx="120">
                  <c:v>74.666666666666671</c:v>
                </c:pt>
              </c:numCache>
            </c:numRef>
          </c:xVal>
          <c:yVal>
            <c:numRef>
              <c:f>Sheet2!$F$239:$F$359</c:f>
              <c:numCache>
                <c:formatCode>General</c:formatCode>
                <c:ptCount val="121"/>
                <c:pt idx="0">
                  <c:v>1.86</c:v>
                </c:pt>
                <c:pt idx="1">
                  <c:v>12.79</c:v>
                </c:pt>
                <c:pt idx="2">
                  <c:v>10.029999999999999</c:v>
                </c:pt>
                <c:pt idx="3">
                  <c:v>4.25</c:v>
                </c:pt>
                <c:pt idx="4">
                  <c:v>2.69</c:v>
                </c:pt>
                <c:pt idx="5">
                  <c:v>3.15</c:v>
                </c:pt>
                <c:pt idx="6">
                  <c:v>4.82</c:v>
                </c:pt>
                <c:pt idx="7">
                  <c:v>32.450000000000003</c:v>
                </c:pt>
                <c:pt idx="8">
                  <c:v>12.5</c:v>
                </c:pt>
                <c:pt idx="9">
                  <c:v>4.75</c:v>
                </c:pt>
                <c:pt idx="10">
                  <c:v>8.9</c:v>
                </c:pt>
                <c:pt idx="11">
                  <c:v>22.3</c:v>
                </c:pt>
                <c:pt idx="12">
                  <c:v>2.4</c:v>
                </c:pt>
                <c:pt idx="13">
                  <c:v>3.5</c:v>
                </c:pt>
                <c:pt idx="14">
                  <c:v>2.1</c:v>
                </c:pt>
                <c:pt idx="15">
                  <c:v>3.8</c:v>
                </c:pt>
                <c:pt idx="16">
                  <c:v>6.5</c:v>
                </c:pt>
                <c:pt idx="17">
                  <c:v>9.1999999999999993</c:v>
                </c:pt>
                <c:pt idx="18">
                  <c:v>2.75</c:v>
                </c:pt>
                <c:pt idx="19">
                  <c:v>5.4</c:v>
                </c:pt>
                <c:pt idx="20">
                  <c:v>15.6</c:v>
                </c:pt>
                <c:pt idx="21">
                  <c:v>18.399999999999999</c:v>
                </c:pt>
                <c:pt idx="22">
                  <c:v>4.2</c:v>
                </c:pt>
                <c:pt idx="23">
                  <c:v>2.9</c:v>
                </c:pt>
                <c:pt idx="24">
                  <c:v>5.0999999999999996</c:v>
                </c:pt>
                <c:pt idx="25">
                  <c:v>38.200000000000003</c:v>
                </c:pt>
                <c:pt idx="26">
                  <c:v>22.5</c:v>
                </c:pt>
                <c:pt idx="27">
                  <c:v>2.2000000000000002</c:v>
                </c:pt>
                <c:pt idx="28">
                  <c:v>12.4</c:v>
                </c:pt>
                <c:pt idx="29">
                  <c:v>44.9</c:v>
                </c:pt>
                <c:pt idx="30">
                  <c:v>4.5</c:v>
                </c:pt>
                <c:pt idx="31">
                  <c:v>3.2</c:v>
                </c:pt>
                <c:pt idx="32">
                  <c:v>5.8</c:v>
                </c:pt>
                <c:pt idx="33">
                  <c:v>2.5</c:v>
                </c:pt>
                <c:pt idx="34">
                  <c:v>7.1</c:v>
                </c:pt>
                <c:pt idx="35">
                  <c:v>28.5</c:v>
                </c:pt>
                <c:pt idx="36">
                  <c:v>3.95</c:v>
                </c:pt>
                <c:pt idx="37">
                  <c:v>19.8</c:v>
                </c:pt>
                <c:pt idx="38">
                  <c:v>24.3</c:v>
                </c:pt>
                <c:pt idx="39">
                  <c:v>35.6</c:v>
                </c:pt>
                <c:pt idx="40">
                  <c:v>42.1</c:v>
                </c:pt>
                <c:pt idx="41">
                  <c:v>4.0999999999999996</c:v>
                </c:pt>
                <c:pt idx="42">
                  <c:v>6.2</c:v>
                </c:pt>
                <c:pt idx="43">
                  <c:v>14.5</c:v>
                </c:pt>
                <c:pt idx="44">
                  <c:v>12.8</c:v>
                </c:pt>
                <c:pt idx="45">
                  <c:v>30.4</c:v>
                </c:pt>
                <c:pt idx="46">
                  <c:v>2.5</c:v>
                </c:pt>
                <c:pt idx="47">
                  <c:v>18.899999999999999</c:v>
                </c:pt>
                <c:pt idx="48">
                  <c:v>15.2</c:v>
                </c:pt>
                <c:pt idx="49">
                  <c:v>4.8</c:v>
                </c:pt>
                <c:pt idx="50">
                  <c:v>3.2</c:v>
                </c:pt>
                <c:pt idx="51">
                  <c:v>9.4</c:v>
                </c:pt>
                <c:pt idx="52">
                  <c:v>11.2</c:v>
                </c:pt>
                <c:pt idx="53">
                  <c:v>14.3</c:v>
                </c:pt>
                <c:pt idx="54">
                  <c:v>8.5</c:v>
                </c:pt>
                <c:pt idx="55">
                  <c:v>15.7</c:v>
                </c:pt>
                <c:pt idx="56">
                  <c:v>9.8000000000000007</c:v>
                </c:pt>
                <c:pt idx="57">
                  <c:v>11.4</c:v>
                </c:pt>
                <c:pt idx="58">
                  <c:v>3.85</c:v>
                </c:pt>
                <c:pt idx="59">
                  <c:v>4.4000000000000004</c:v>
                </c:pt>
                <c:pt idx="60">
                  <c:v>5.2</c:v>
                </c:pt>
                <c:pt idx="61">
                  <c:v>4.0999999999999996</c:v>
                </c:pt>
                <c:pt idx="62">
                  <c:v>6.5</c:v>
                </c:pt>
                <c:pt idx="63">
                  <c:v>3.5</c:v>
                </c:pt>
                <c:pt idx="64">
                  <c:v>2.9</c:v>
                </c:pt>
                <c:pt idx="65">
                  <c:v>3.2</c:v>
                </c:pt>
                <c:pt idx="66">
                  <c:v>6.8</c:v>
                </c:pt>
                <c:pt idx="67">
                  <c:v>2.5</c:v>
                </c:pt>
                <c:pt idx="68">
                  <c:v>18.2</c:v>
                </c:pt>
                <c:pt idx="69">
                  <c:v>4.5</c:v>
                </c:pt>
                <c:pt idx="70">
                  <c:v>13.4</c:v>
                </c:pt>
                <c:pt idx="71">
                  <c:v>21.1</c:v>
                </c:pt>
                <c:pt idx="72">
                  <c:v>7.8</c:v>
                </c:pt>
                <c:pt idx="73">
                  <c:v>16.5</c:v>
                </c:pt>
                <c:pt idx="74">
                  <c:v>5.2</c:v>
                </c:pt>
                <c:pt idx="75">
                  <c:v>6.4</c:v>
                </c:pt>
                <c:pt idx="76">
                  <c:v>24.8</c:v>
                </c:pt>
                <c:pt idx="77">
                  <c:v>12.4</c:v>
                </c:pt>
                <c:pt idx="78">
                  <c:v>15.6</c:v>
                </c:pt>
                <c:pt idx="79">
                  <c:v>8.1999999999999993</c:v>
                </c:pt>
                <c:pt idx="80">
                  <c:v>9.5</c:v>
                </c:pt>
                <c:pt idx="81">
                  <c:v>14.2</c:v>
                </c:pt>
                <c:pt idx="82">
                  <c:v>2.8</c:v>
                </c:pt>
                <c:pt idx="83">
                  <c:v>3.1</c:v>
                </c:pt>
                <c:pt idx="84">
                  <c:v>2.5</c:v>
                </c:pt>
                <c:pt idx="85">
                  <c:v>22.4</c:v>
                </c:pt>
                <c:pt idx="86">
                  <c:v>4.2</c:v>
                </c:pt>
                <c:pt idx="87">
                  <c:v>19.5</c:v>
                </c:pt>
                <c:pt idx="88">
                  <c:v>2.1</c:v>
                </c:pt>
                <c:pt idx="89">
                  <c:v>11.8</c:v>
                </c:pt>
                <c:pt idx="90">
                  <c:v>2.5</c:v>
                </c:pt>
                <c:pt idx="91">
                  <c:v>8.9</c:v>
                </c:pt>
                <c:pt idx="92">
                  <c:v>7.2</c:v>
                </c:pt>
                <c:pt idx="93">
                  <c:v>4.8</c:v>
                </c:pt>
                <c:pt idx="94">
                  <c:v>2.9</c:v>
                </c:pt>
                <c:pt idx="95">
                  <c:v>3.2</c:v>
                </c:pt>
                <c:pt idx="96">
                  <c:v>2.15</c:v>
                </c:pt>
                <c:pt idx="97">
                  <c:v>5.4</c:v>
                </c:pt>
                <c:pt idx="98">
                  <c:v>5.8</c:v>
                </c:pt>
                <c:pt idx="99">
                  <c:v>1.5</c:v>
                </c:pt>
                <c:pt idx="100">
                  <c:v>34.200000000000003</c:v>
                </c:pt>
                <c:pt idx="101">
                  <c:v>21.5</c:v>
                </c:pt>
                <c:pt idx="102">
                  <c:v>26.8</c:v>
                </c:pt>
                <c:pt idx="103">
                  <c:v>14.2</c:v>
                </c:pt>
                <c:pt idx="104">
                  <c:v>16.5</c:v>
                </c:pt>
                <c:pt idx="105">
                  <c:v>31.4</c:v>
                </c:pt>
                <c:pt idx="106">
                  <c:v>10.199999999999999</c:v>
                </c:pt>
                <c:pt idx="107">
                  <c:v>11.5</c:v>
                </c:pt>
                <c:pt idx="108">
                  <c:v>28.4</c:v>
                </c:pt>
                <c:pt idx="109">
                  <c:v>36.5</c:v>
                </c:pt>
                <c:pt idx="110">
                  <c:v>15.8</c:v>
                </c:pt>
                <c:pt idx="111">
                  <c:v>41.2</c:v>
                </c:pt>
                <c:pt idx="112">
                  <c:v>22.4</c:v>
                </c:pt>
                <c:pt idx="113">
                  <c:v>25.6</c:v>
                </c:pt>
                <c:pt idx="114">
                  <c:v>18.399999999999999</c:v>
                </c:pt>
                <c:pt idx="115">
                  <c:v>32.799999999999997</c:v>
                </c:pt>
                <c:pt idx="116">
                  <c:v>38.5</c:v>
                </c:pt>
                <c:pt idx="117">
                  <c:v>14.5</c:v>
                </c:pt>
                <c:pt idx="118">
                  <c:v>44.2</c:v>
                </c:pt>
                <c:pt idx="119">
                  <c:v>48.5</c:v>
                </c:pt>
                <c:pt idx="120">
                  <c:v>23.5</c:v>
                </c:pt>
              </c:numCache>
            </c:numRef>
          </c:yVal>
          <c:smooth val="0"/>
          <c:extLst>
            <c:ext xmlns:c16="http://schemas.microsoft.com/office/drawing/2014/chart" uri="{C3380CC4-5D6E-409C-BE32-E72D297353CC}">
              <c16:uniqueId val="{00000000-573D-40F4-9BC6-151C010E8816}"/>
            </c:ext>
          </c:extLst>
        </c:ser>
        <c:ser>
          <c:idx val="1"/>
          <c:order val="1"/>
          <c:tx>
            <c:v>Avg Data</c:v>
          </c:tx>
          <c:spPr>
            <a:ln w="19050" cap="rnd">
              <a:solidFill>
                <a:srgbClr val="2D8CDB"/>
              </a:solidFill>
              <a:round/>
            </a:ln>
            <a:effectLst/>
          </c:spPr>
          <c:marker>
            <c:symbol val="circle"/>
            <c:size val="5"/>
            <c:spPr>
              <a:solidFill>
                <a:schemeClr val="accent3"/>
              </a:solidFill>
              <a:ln w="9525">
                <a:solidFill>
                  <a:schemeClr val="accent3"/>
                </a:solidFill>
              </a:ln>
              <a:effectLst/>
            </c:spPr>
          </c:marker>
          <c:xVal>
            <c:numRef>
              <c:f>Sheet2!$G$365:$G$366</c:f>
              <c:numCache>
                <c:formatCode>General</c:formatCode>
                <c:ptCount val="2"/>
                <c:pt idx="0">
                  <c:v>54.158999999999999</c:v>
                </c:pt>
                <c:pt idx="1">
                  <c:v>54.158999999999999</c:v>
                </c:pt>
              </c:numCache>
            </c:numRef>
          </c:xVal>
          <c:yVal>
            <c:numRef>
              <c:f>Sheet2!$H$365:$H$366</c:f>
              <c:numCache>
                <c:formatCode>General</c:formatCode>
                <c:ptCount val="2"/>
                <c:pt idx="0">
                  <c:v>0</c:v>
                </c:pt>
                <c:pt idx="1">
                  <c:v>60</c:v>
                </c:pt>
              </c:numCache>
            </c:numRef>
          </c:yVal>
          <c:smooth val="0"/>
          <c:extLst>
            <c:ext xmlns:c16="http://schemas.microsoft.com/office/drawing/2014/chart" uri="{C3380CC4-5D6E-409C-BE32-E72D297353CC}">
              <c16:uniqueId val="{00000001-573D-40F4-9BC6-151C010E8816}"/>
            </c:ext>
          </c:extLst>
        </c:ser>
        <c:ser>
          <c:idx val="2"/>
          <c:order val="2"/>
          <c:tx>
            <c:v>horiz</c:v>
          </c:tx>
          <c:spPr>
            <a:ln w="19050" cap="rnd">
              <a:solidFill>
                <a:schemeClr val="bg2">
                  <a:lumMod val="75000"/>
                </a:schemeClr>
              </a:solidFill>
              <a:round/>
            </a:ln>
            <a:effectLst/>
          </c:spPr>
          <c:marker>
            <c:symbol val="circle"/>
            <c:size val="5"/>
            <c:spPr>
              <a:solidFill>
                <a:schemeClr val="accent5"/>
              </a:solidFill>
              <a:ln w="9525">
                <a:solidFill>
                  <a:schemeClr val="accent5"/>
                </a:solidFill>
              </a:ln>
              <a:effectLst/>
            </c:spPr>
          </c:marker>
          <c:xVal>
            <c:numRef>
              <c:f>Sheet2!$J$365:$J$366</c:f>
              <c:numCache>
                <c:formatCode>General</c:formatCode>
                <c:ptCount val="2"/>
                <c:pt idx="0">
                  <c:v>0</c:v>
                </c:pt>
                <c:pt idx="1">
                  <c:v>100</c:v>
                </c:pt>
              </c:numCache>
            </c:numRef>
          </c:xVal>
          <c:yVal>
            <c:numRef>
              <c:f>Sheet2!$K$365:$K$366</c:f>
              <c:numCache>
                <c:formatCode>General</c:formatCode>
                <c:ptCount val="2"/>
                <c:pt idx="0">
                  <c:v>13.082000000000001</c:v>
                </c:pt>
                <c:pt idx="1">
                  <c:v>13.082000000000001</c:v>
                </c:pt>
              </c:numCache>
            </c:numRef>
          </c:yVal>
          <c:smooth val="0"/>
          <c:extLst>
            <c:ext xmlns:c16="http://schemas.microsoft.com/office/drawing/2014/chart" uri="{C3380CC4-5D6E-409C-BE32-E72D297353CC}">
              <c16:uniqueId val="{00000002-573D-40F4-9BC6-151C010E8816}"/>
            </c:ext>
          </c:extLst>
        </c:ser>
        <c:dLbls>
          <c:showLegendKey val="0"/>
          <c:showVal val="0"/>
          <c:showCatName val="0"/>
          <c:showSerName val="0"/>
          <c:showPercent val="0"/>
          <c:showBubbleSize val="0"/>
        </c:dLbls>
        <c:axId val="1855676671"/>
        <c:axId val="1855680511"/>
      </c:scatterChart>
      <c:valAx>
        <c:axId val="1855676671"/>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50000"/>
                        <a:lumOff val="50000"/>
                      </a:schemeClr>
                    </a:solidFill>
                    <a:latin typeface="+mn-lt"/>
                    <a:ea typeface="+mn-ea"/>
                    <a:cs typeface="+mn-cs"/>
                  </a:defRPr>
                </a:pPr>
                <a:r>
                  <a:rPr lang="en-IN" sz="1000" b="0" i="0" u="none" strike="noStrike" baseline="0">
                    <a:solidFill>
                      <a:schemeClr val="tx1">
                        <a:lumMod val="50000"/>
                        <a:lumOff val="50000"/>
                      </a:schemeClr>
                    </a:solidFill>
                  </a:rPr>
                  <a:t>Avg Daily Demand</a:t>
                </a:r>
                <a:endParaRPr lang="en-IN" b="0">
                  <a:solidFill>
                    <a:schemeClr val="tx1">
                      <a:lumMod val="50000"/>
                      <a:lumOff val="50000"/>
                    </a:schemeClr>
                  </a:solidFill>
                </a:endParaRPr>
              </a:p>
            </c:rich>
          </c:tx>
          <c:layout>
            <c:manualLayout>
              <c:xMode val="edge"/>
              <c:yMode val="edge"/>
              <c:x val="0.41312484399218152"/>
              <c:y val="0.8522592289519183"/>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50000"/>
                      <a:lumOff val="50000"/>
                    </a:schemeClr>
                  </a:solidFill>
                  <a:latin typeface="+mn-lt"/>
                  <a:ea typeface="+mn-ea"/>
                  <a:cs typeface="+mn-cs"/>
                </a:defRPr>
              </a:pPr>
              <a:endParaRPr lang="en-IN"/>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55680511"/>
        <c:crosses val="autoZero"/>
        <c:crossBetween val="midCat"/>
      </c:valAx>
      <c:valAx>
        <c:axId val="1855680511"/>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50000"/>
                        <a:lumOff val="50000"/>
                      </a:schemeClr>
                    </a:solidFill>
                    <a:latin typeface="+mn-lt"/>
                    <a:ea typeface="+mn-ea"/>
                    <a:cs typeface="+mn-cs"/>
                  </a:defRPr>
                </a:pPr>
                <a:r>
                  <a:rPr lang="en-IN" sz="1000" b="0" i="0" u="none" strike="noStrike" baseline="0">
                    <a:solidFill>
                      <a:schemeClr val="tx1">
                        <a:lumMod val="50000"/>
                        <a:lumOff val="50000"/>
                      </a:schemeClr>
                    </a:solidFill>
                  </a:rPr>
                  <a:t>Unit Cost</a:t>
                </a:r>
                <a:endParaRPr lang="en-IN" b="0">
                  <a:solidFill>
                    <a:schemeClr val="tx1">
                      <a:lumMod val="50000"/>
                      <a:lumOff val="50000"/>
                    </a:schemeClr>
                  </a:solidFill>
                </a:endParaRP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50000"/>
                      <a:lumOff val="50000"/>
                    </a:schemeClr>
                  </a:solidFill>
                  <a:latin typeface="+mn-lt"/>
                  <a:ea typeface="+mn-ea"/>
                  <a:cs typeface="+mn-cs"/>
                </a:defRPr>
              </a:pPr>
              <a:endParaRPr lang="en-IN"/>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55676671"/>
        <c:crosses val="autoZero"/>
        <c:crossBetween val="midCat"/>
      </c:valAx>
      <c:spPr>
        <a:noFill/>
        <a:ln w="25400">
          <a:noFill/>
        </a:ln>
        <a:effectLst/>
      </c:spPr>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[Inventory_Management_and_Reorder_Optimization_Excel.xlsx]Sheet2!PivotTable12</c:name>
    <c:fmtId val="6"/>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002060"/>
          </a:solidFill>
          <a:ln w="22225">
            <a:solidFill>
              <a:srgbClr val="002060"/>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Sheet2!$F$391</c:f>
              <c:strCache>
                <c:ptCount val="1"/>
                <c:pt idx="0">
                  <c:v>Total</c:v>
                </c:pt>
              </c:strCache>
            </c:strRef>
          </c:tx>
          <c:spPr>
            <a:solidFill>
              <a:srgbClr val="002060"/>
            </a:solidFill>
            <a:ln w="22225">
              <a:solidFill>
                <a:srgbClr val="002060"/>
              </a:solid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Sheet2!$E$392:$E$402</c:f>
              <c:strCache>
                <c:ptCount val="10"/>
                <c:pt idx="0">
                  <c:v>Coffee Beans</c:v>
                </c:pt>
                <c:pt idx="1">
                  <c:v>Crab</c:v>
                </c:pt>
                <c:pt idx="2">
                  <c:v>Sesame Oil</c:v>
                </c:pt>
                <c:pt idx="3">
                  <c:v>Corn Oil</c:v>
                </c:pt>
                <c:pt idx="4">
                  <c:v>Basmati Rice</c:v>
                </c:pt>
                <c:pt idx="5">
                  <c:v>Olive Oil</c:v>
                </c:pt>
                <c:pt idx="6">
                  <c:v>Evaporated Milk</c:v>
                </c:pt>
                <c:pt idx="7">
                  <c:v>Scallops</c:v>
                </c:pt>
                <c:pt idx="8">
                  <c:v>Avocado Oil</c:v>
                </c:pt>
                <c:pt idx="9">
                  <c:v>Lobster</c:v>
                </c:pt>
              </c:strCache>
            </c:strRef>
          </c:cat>
          <c:val>
            <c:numRef>
              <c:f>Sheet2!$F$392:$F$402</c:f>
              <c:numCache>
                <c:formatCode>General</c:formatCode>
                <c:ptCount val="10"/>
                <c:pt idx="0">
                  <c:v>650</c:v>
                </c:pt>
                <c:pt idx="1">
                  <c:v>654</c:v>
                </c:pt>
                <c:pt idx="2">
                  <c:v>658</c:v>
                </c:pt>
                <c:pt idx="3">
                  <c:v>700</c:v>
                </c:pt>
                <c:pt idx="4">
                  <c:v>711</c:v>
                </c:pt>
                <c:pt idx="5">
                  <c:v>716</c:v>
                </c:pt>
                <c:pt idx="6">
                  <c:v>800</c:v>
                </c:pt>
                <c:pt idx="7">
                  <c:v>873</c:v>
                </c:pt>
                <c:pt idx="8">
                  <c:v>950</c:v>
                </c:pt>
                <c:pt idx="9">
                  <c:v>1098</c:v>
                </c:pt>
              </c:numCache>
            </c:numRef>
          </c:val>
          <c:extLst>
            <c:ext xmlns:c16="http://schemas.microsoft.com/office/drawing/2014/chart" uri="{C3380CC4-5D6E-409C-BE32-E72D297353CC}">
              <c16:uniqueId val="{00000000-91D0-4538-92CF-1FAC567D9369}"/>
            </c:ext>
          </c:extLst>
        </c:ser>
        <c:dLbls>
          <c:showLegendKey val="0"/>
          <c:showVal val="1"/>
          <c:showCatName val="0"/>
          <c:showSerName val="0"/>
          <c:showPercent val="0"/>
          <c:showBubbleSize val="0"/>
        </c:dLbls>
        <c:gapWidth val="195"/>
        <c:axId val="612041727"/>
        <c:axId val="612042207"/>
      </c:barChart>
      <c:catAx>
        <c:axId val="61204172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baseline="0">
                <a:solidFill>
                  <a:schemeClr val="tx1">
                    <a:lumMod val="50000"/>
                    <a:lumOff val="50000"/>
                  </a:schemeClr>
                </a:solidFill>
                <a:latin typeface="+mn-lt"/>
                <a:ea typeface="+mn-ea"/>
                <a:cs typeface="+mn-cs"/>
              </a:defRPr>
            </a:pPr>
            <a:endParaRPr lang="en-US"/>
          </a:p>
        </c:txPr>
        <c:crossAx val="612042207"/>
        <c:crosses val="autoZero"/>
        <c:auto val="1"/>
        <c:lblAlgn val="ctr"/>
        <c:lblOffset val="100"/>
        <c:noMultiLvlLbl val="0"/>
      </c:catAx>
      <c:valAx>
        <c:axId val="612042207"/>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crossAx val="61204172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[Inventory_Management_and_Reorder_Optimization_Excel.xlsx]Sheet2!PivotTable5</c:name>
    <c:fmtId val="8"/>
  </c:pivotSource>
  <c:chart>
    <c:title>
      <c:tx>
        <c:rich>
          <a:bodyPr rot="0" spcFirstLastPara="1" vertOverflow="ellipsis" vert="horz" wrap="square" anchor="ctr" anchorCtr="1"/>
          <a:lstStyle/>
          <a:p>
            <a:pPr>
              <a:defRPr sz="1400" b="0" i="0" u="none" strike="noStrike" kern="1200" spc="0" baseline="0">
                <a:solidFill>
                  <a:schemeClr val="tx2"/>
                </a:solidFill>
                <a:latin typeface="+mn-lt"/>
                <a:ea typeface="+mn-ea"/>
                <a:cs typeface="+mn-cs"/>
              </a:defRPr>
            </a:pPr>
            <a:r>
              <a:rPr lang="en-US" sz="1100" b="1">
                <a:solidFill>
                  <a:schemeClr val="tx1">
                    <a:lumMod val="50000"/>
                    <a:lumOff val="50000"/>
                  </a:schemeClr>
                </a:solidFill>
              </a:rPr>
              <a:t>Inventory Status Distribution</a:t>
            </a:r>
            <a:endParaRPr lang="en-US" sz="1050" b="1">
              <a:solidFill>
                <a:schemeClr val="tx1">
                  <a:lumMod val="50000"/>
                  <a:lumOff val="50000"/>
                </a:schemeClr>
              </a:solidFill>
            </a:endParaRPr>
          </a:p>
        </c:rich>
      </c:tx>
      <c:layout>
        <c:manualLayout>
          <c:xMode val="edge"/>
          <c:yMode val="edge"/>
          <c:x val="0.2666137093449869"/>
          <c:y val="0.12222622824104937"/>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2"/>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
        <c:spPr>
          <a:solidFill>
            <a:schemeClr val="accent2"/>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
        <c:spPr>
          <a:solidFill>
            <a:schemeClr val="accent1"/>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3"/>
        <c:spPr>
          <a:solidFill>
            <a:schemeClr val="accent1"/>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4"/>
        <c:spPr>
          <a:solidFill>
            <a:schemeClr val="accent1"/>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5"/>
        <c:spPr>
          <a:solidFill>
            <a:schemeClr val="accent1"/>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6"/>
        <c:spPr>
          <a:solidFill>
            <a:schemeClr val="accent1"/>
          </a:solidFill>
          <a:ln w="15875">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7"/>
        <c:spPr>
          <a:solidFill>
            <a:srgbClr val="002060"/>
          </a:solidFill>
          <a:ln w="15875">
            <a:solidFill>
              <a:schemeClr val="lt1"/>
            </a:solidFill>
          </a:ln>
          <a:effectLst/>
        </c:spPr>
        <c:dLbl>
          <c:idx val="0"/>
          <c:layout>
            <c:manualLayout>
              <c:x val="0.14319806378177066"/>
              <c:y val="0.25263412389247836"/>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8"/>
        <c:spPr>
          <a:solidFill>
            <a:schemeClr val="accent5">
              <a:lumMod val="60000"/>
              <a:lumOff val="40000"/>
            </a:schemeClr>
          </a:solidFill>
          <a:ln w="15875">
            <a:solidFill>
              <a:schemeClr val="lt1"/>
            </a:solidFill>
          </a:ln>
          <a:effectLst/>
        </c:spPr>
        <c:dLbl>
          <c:idx val="0"/>
          <c:layout>
            <c:manualLayout>
              <c:x val="-5.8213079138189273E-2"/>
              <c:y val="-0.2588077622411965"/>
            </c:manualLayout>
          </c:layout>
          <c:tx>
            <c:rich>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fld id="{FBA29357-2301-4CCA-A2BB-B1896693BFA6}" type="CATEGORYNAME">
                  <a:rPr lang="en-US" sz="700" b="0"/>
                  <a:pPr>
                    <a:defRPr/>
                  </a:pPr>
                  <a:t>[CATEGORY NAME]</a:t>
                </a:fld>
                <a:r>
                  <a:rPr lang="en-US" b="0" baseline="0"/>
                  <a:t>
</a:t>
                </a:r>
                <a:fld id="{52166195-7E89-4B7B-85C9-073789361E93}" type="PERCENTAGE">
                  <a:rPr lang="en-US" sz="800" b="0" baseline="0"/>
                  <a:pPr>
                    <a:defRPr/>
                  </a:pPr>
                  <a:t>[PERCENTAGE]</a:t>
                </a:fld>
                <a:endParaRPr lang="en-US" b="0" baseline="0"/>
              </a:p>
            </c:rich>
          </c:tx>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layout>
                <c:manualLayout>
                  <c:w val="0.3743653556428887"/>
                  <c:h val="0.22938711713388571"/>
                </c:manualLayout>
              </c15:layout>
              <c15:dlblFieldTable/>
              <c15:showDataLabelsRange val="0"/>
            </c:ext>
          </c:extLst>
        </c:dLbl>
      </c:pivotFmt>
    </c:pivotFmts>
    <c:plotArea>
      <c:layout>
        <c:manualLayout>
          <c:layoutTarget val="inner"/>
          <c:xMode val="edge"/>
          <c:yMode val="edge"/>
          <c:x val="0.33390251451925457"/>
          <c:y val="0.32358020496406253"/>
          <c:w val="0.43840410690630954"/>
          <c:h val="0.72476625909666059"/>
        </c:manualLayout>
      </c:layout>
      <c:doughnutChart>
        <c:varyColors val="1"/>
        <c:ser>
          <c:idx val="0"/>
          <c:order val="0"/>
          <c:tx>
            <c:strRef>
              <c:f>Sheet2!$F$85</c:f>
              <c:strCache>
                <c:ptCount val="1"/>
                <c:pt idx="0">
                  <c:v>Total</c:v>
                </c:pt>
              </c:strCache>
            </c:strRef>
          </c:tx>
          <c:spPr>
            <a:ln w="15875"/>
          </c:spPr>
          <c:dPt>
            <c:idx val="0"/>
            <c:bubble3D val="0"/>
            <c:spPr>
              <a:solidFill>
                <a:srgbClr val="002060"/>
              </a:solidFill>
              <a:ln w="15875">
                <a:solidFill>
                  <a:schemeClr val="lt1"/>
                </a:solidFill>
              </a:ln>
              <a:effectLst/>
            </c:spPr>
            <c:extLst>
              <c:ext xmlns:c16="http://schemas.microsoft.com/office/drawing/2014/chart" uri="{C3380CC4-5D6E-409C-BE32-E72D297353CC}">
                <c16:uniqueId val="{00000001-FE07-4D89-A532-D5508EA438A9}"/>
              </c:ext>
            </c:extLst>
          </c:dPt>
          <c:dPt>
            <c:idx val="1"/>
            <c:bubble3D val="0"/>
            <c:spPr>
              <a:solidFill>
                <a:schemeClr val="accent5">
                  <a:lumMod val="60000"/>
                  <a:lumOff val="40000"/>
                </a:schemeClr>
              </a:solidFill>
              <a:ln w="15875">
                <a:solidFill>
                  <a:schemeClr val="lt1"/>
                </a:solidFill>
              </a:ln>
              <a:effectLst/>
            </c:spPr>
            <c:extLst>
              <c:ext xmlns:c16="http://schemas.microsoft.com/office/drawing/2014/chart" uri="{C3380CC4-5D6E-409C-BE32-E72D297353CC}">
                <c16:uniqueId val="{00000003-FE07-4D89-A532-D5508EA438A9}"/>
              </c:ext>
            </c:extLst>
          </c:dPt>
          <c:dLbls>
            <c:dLbl>
              <c:idx val="0"/>
              <c:layout>
                <c:manualLayout>
                  <c:x val="0.14319806378177066"/>
                  <c:y val="0.25263412389247836"/>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1-FE07-4D89-A532-D5508EA438A9}"/>
                </c:ext>
              </c:extLst>
            </c:dLbl>
            <c:dLbl>
              <c:idx val="1"/>
              <c:layout>
                <c:manualLayout>
                  <c:x val="-5.8213079138189273E-2"/>
                  <c:y val="-0.2588077622411965"/>
                </c:manualLayout>
              </c:layout>
              <c:tx>
                <c:rich>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fld id="{FBA29357-2301-4CCA-A2BB-B1896693BFA6}" type="CATEGORYNAME">
                      <a:rPr lang="en-US" sz="700" b="0"/>
                      <a:pPr>
                        <a:defRPr/>
                      </a:pPr>
                      <a:t>[CATEGORY NAME]</a:t>
                    </a:fld>
                    <a:r>
                      <a:rPr lang="en-US" b="0" baseline="0"/>
                      <a:t>
</a:t>
                    </a:r>
                    <a:fld id="{52166195-7E89-4B7B-85C9-073789361E93}" type="PERCENTAGE">
                      <a:rPr lang="en-US" sz="800" b="0" baseline="0"/>
                      <a:pPr>
                        <a:defRPr/>
                      </a:pPr>
                      <a:t>[PERCENTAGE]</a:t>
                    </a:fld>
                    <a:endParaRPr lang="en-US" b="0" baseline="0"/>
                  </a:p>
                </c:rich>
              </c:tx>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layout>
                    <c:manualLayout>
                      <c:w val="0.3743653556428887"/>
                      <c:h val="0.22938711713388571"/>
                    </c:manualLayout>
                  </c15:layout>
                  <c15:dlblFieldTable/>
                  <c15:showDataLabelsRange val="0"/>
                </c:ext>
                <c:ext xmlns:c16="http://schemas.microsoft.com/office/drawing/2014/chart" uri="{C3380CC4-5D6E-409C-BE32-E72D297353CC}">
                  <c16:uniqueId val="{00000003-FE07-4D89-A532-D5508EA438A9}"/>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Sheet2!$E$86:$E$88</c:f>
              <c:strCache>
                <c:ptCount val="2"/>
                <c:pt idx="0">
                  <c:v>REORDER</c:v>
                </c:pt>
                <c:pt idx="1">
                  <c:v>SUFFICIENT_STOCK</c:v>
                </c:pt>
              </c:strCache>
            </c:strRef>
          </c:cat>
          <c:val>
            <c:numRef>
              <c:f>Sheet2!$F$86:$F$88</c:f>
              <c:numCache>
                <c:formatCode>General</c:formatCode>
                <c:ptCount val="2"/>
                <c:pt idx="0">
                  <c:v>67</c:v>
                </c:pt>
                <c:pt idx="1">
                  <c:v>54</c:v>
                </c:pt>
              </c:numCache>
            </c:numRef>
          </c:val>
          <c:extLst>
            <c:ext xmlns:c16="http://schemas.microsoft.com/office/drawing/2014/chart" uri="{C3380CC4-5D6E-409C-BE32-E72D297353CC}">
              <c16:uniqueId val="{00000004-FE07-4D89-A532-D5508EA438A9}"/>
            </c:ext>
          </c:extLst>
        </c:ser>
        <c:dLbls>
          <c:showLegendKey val="0"/>
          <c:showVal val="0"/>
          <c:showCatName val="1"/>
          <c:showSerName val="0"/>
          <c:showPercent val="1"/>
          <c:showBubbleSize val="0"/>
          <c:showLeaderLines val="1"/>
        </c:dLbls>
        <c:firstSliceAng val="0"/>
        <c:holeSize val="47"/>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[Inventory_Management_and_Reorder_Optimization_Excel.xlsx]Sheet2!PivotTable4</c:name>
    <c:fmtId val="3"/>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5">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rgbClr val="00206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7.8206418094821983E-2"/>
          <c:y val="6.6643466027688544E-2"/>
          <c:w val="0.85274782338079391"/>
          <c:h val="0.5982200643023966"/>
        </c:manualLayout>
      </c:layout>
      <c:barChart>
        <c:barDir val="col"/>
        <c:grouping val="clustered"/>
        <c:varyColors val="0"/>
        <c:ser>
          <c:idx val="0"/>
          <c:order val="0"/>
          <c:tx>
            <c:strRef>
              <c:f>Sheet2!$F$66</c:f>
              <c:strCache>
                <c:ptCount val="1"/>
                <c:pt idx="0">
                  <c:v>Sum of Current_Stock</c:v>
                </c:pt>
              </c:strCache>
            </c:strRef>
          </c:tx>
          <c:spPr>
            <a:solidFill>
              <a:schemeClr val="accent5">
                <a:lumMod val="60000"/>
                <a:lumOff val="40000"/>
              </a:schemeClr>
            </a:solidFill>
            <a:ln>
              <a:noFill/>
            </a:ln>
            <a:effectLst/>
          </c:spPr>
          <c:invertIfNegative val="0"/>
          <c:cat>
            <c:strRef>
              <c:f>Sheet2!$E$67:$E$74</c:f>
              <c:strCache>
                <c:ptCount val="7"/>
                <c:pt idx="0">
                  <c:v>Bakery</c:v>
                </c:pt>
                <c:pt idx="1">
                  <c:v>Beverages</c:v>
                </c:pt>
                <c:pt idx="2">
                  <c:v>Dairy</c:v>
                </c:pt>
                <c:pt idx="3">
                  <c:v>Fruits</c:v>
                </c:pt>
                <c:pt idx="4">
                  <c:v>Grains</c:v>
                </c:pt>
                <c:pt idx="5">
                  <c:v>Oils</c:v>
                </c:pt>
                <c:pt idx="6">
                  <c:v>Seafood</c:v>
                </c:pt>
              </c:strCache>
            </c:strRef>
          </c:cat>
          <c:val>
            <c:numRef>
              <c:f>Sheet2!$F$67:$F$74</c:f>
              <c:numCache>
                <c:formatCode>General</c:formatCode>
                <c:ptCount val="7"/>
                <c:pt idx="0">
                  <c:v>3748</c:v>
                </c:pt>
                <c:pt idx="1">
                  <c:v>2548</c:v>
                </c:pt>
                <c:pt idx="2">
                  <c:v>11967</c:v>
                </c:pt>
                <c:pt idx="3">
                  <c:v>7262</c:v>
                </c:pt>
                <c:pt idx="4">
                  <c:v>3973</c:v>
                </c:pt>
                <c:pt idx="5">
                  <c:v>4795</c:v>
                </c:pt>
                <c:pt idx="6">
                  <c:v>18092</c:v>
                </c:pt>
              </c:numCache>
            </c:numRef>
          </c:val>
          <c:extLst>
            <c:ext xmlns:c16="http://schemas.microsoft.com/office/drawing/2014/chart" uri="{C3380CC4-5D6E-409C-BE32-E72D297353CC}">
              <c16:uniqueId val="{00000000-09DC-403F-B896-7DDDCFF54629}"/>
            </c:ext>
          </c:extLst>
        </c:ser>
        <c:ser>
          <c:idx val="1"/>
          <c:order val="1"/>
          <c:tx>
            <c:strRef>
              <c:f>Sheet2!$G$66</c:f>
              <c:strCache>
                <c:ptCount val="1"/>
                <c:pt idx="0">
                  <c:v>Sum of Reorder_Point</c:v>
                </c:pt>
              </c:strCache>
            </c:strRef>
          </c:tx>
          <c:spPr>
            <a:solidFill>
              <a:srgbClr val="002060"/>
            </a:solidFill>
            <a:ln>
              <a:noFill/>
            </a:ln>
            <a:effectLst/>
          </c:spPr>
          <c:invertIfNegative val="0"/>
          <c:cat>
            <c:strRef>
              <c:f>Sheet2!$E$67:$E$74</c:f>
              <c:strCache>
                <c:ptCount val="7"/>
                <c:pt idx="0">
                  <c:v>Bakery</c:v>
                </c:pt>
                <c:pt idx="1">
                  <c:v>Beverages</c:v>
                </c:pt>
                <c:pt idx="2">
                  <c:v>Dairy</c:v>
                </c:pt>
                <c:pt idx="3">
                  <c:v>Fruits</c:v>
                </c:pt>
                <c:pt idx="4">
                  <c:v>Grains</c:v>
                </c:pt>
                <c:pt idx="5">
                  <c:v>Oils</c:v>
                </c:pt>
                <c:pt idx="6">
                  <c:v>Seafood</c:v>
                </c:pt>
              </c:strCache>
            </c:strRef>
          </c:cat>
          <c:val>
            <c:numRef>
              <c:f>Sheet2!$G$67:$G$74</c:f>
              <c:numCache>
                <c:formatCode>General</c:formatCode>
                <c:ptCount val="7"/>
                <c:pt idx="0">
                  <c:v>1569</c:v>
                </c:pt>
                <c:pt idx="1">
                  <c:v>3502</c:v>
                </c:pt>
                <c:pt idx="2">
                  <c:v>11483</c:v>
                </c:pt>
                <c:pt idx="3">
                  <c:v>5573</c:v>
                </c:pt>
                <c:pt idx="4">
                  <c:v>3928</c:v>
                </c:pt>
                <c:pt idx="5">
                  <c:v>11083</c:v>
                </c:pt>
                <c:pt idx="6">
                  <c:v>19387</c:v>
                </c:pt>
              </c:numCache>
            </c:numRef>
          </c:val>
          <c:extLst>
            <c:ext xmlns:c16="http://schemas.microsoft.com/office/drawing/2014/chart" uri="{C3380CC4-5D6E-409C-BE32-E72D297353CC}">
              <c16:uniqueId val="{00000001-09DC-403F-B896-7DDDCFF54629}"/>
            </c:ext>
          </c:extLst>
        </c:ser>
        <c:dLbls>
          <c:showLegendKey val="0"/>
          <c:showVal val="0"/>
          <c:showCatName val="0"/>
          <c:showSerName val="0"/>
          <c:showPercent val="0"/>
          <c:showBubbleSize val="0"/>
        </c:dLbls>
        <c:gapWidth val="219"/>
        <c:overlap val="-27"/>
        <c:axId val="785529040"/>
        <c:axId val="785533840"/>
      </c:barChart>
      <c:catAx>
        <c:axId val="78552904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85533840"/>
        <c:crosses val="autoZero"/>
        <c:auto val="1"/>
        <c:lblAlgn val="ctr"/>
        <c:lblOffset val="100"/>
        <c:noMultiLvlLbl val="0"/>
      </c:catAx>
      <c:valAx>
        <c:axId val="78553384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8552904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withinLinearReversed" id="24">
  <a:schemeClr val="accent4"/>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withinLinearReversed" id="24">
  <a:schemeClr val="accent4"/>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 Id="rId9" Type="http://schemas.openxmlformats.org/officeDocument/2006/relationships/chart" Target="../charts/chart9.xml"/></Relationships>
</file>

<file path=xl/drawings/_rels/drawing2.xml.rels><?xml version="1.0" encoding="UTF-8" standalone="yes"?>
<Relationships xmlns="http://schemas.openxmlformats.org/package/2006/relationships"><Relationship Id="rId8" Type="http://schemas.openxmlformats.org/officeDocument/2006/relationships/chart" Target="../charts/chart17.xml"/><Relationship Id="rId3" Type="http://schemas.openxmlformats.org/officeDocument/2006/relationships/chart" Target="../charts/chart12.xml"/><Relationship Id="rId7" Type="http://schemas.openxmlformats.org/officeDocument/2006/relationships/chart" Target="../charts/chart16.xml"/><Relationship Id="rId2" Type="http://schemas.openxmlformats.org/officeDocument/2006/relationships/chart" Target="../charts/chart11.xml"/><Relationship Id="rId1" Type="http://schemas.openxmlformats.org/officeDocument/2006/relationships/chart" Target="../charts/chart10.xml"/><Relationship Id="rId6" Type="http://schemas.openxmlformats.org/officeDocument/2006/relationships/chart" Target="../charts/chart15.xml"/><Relationship Id="rId5" Type="http://schemas.openxmlformats.org/officeDocument/2006/relationships/chart" Target="../charts/chart14.xml"/><Relationship Id="rId10" Type="http://schemas.openxmlformats.org/officeDocument/2006/relationships/image" Target="../media/image1.png"/><Relationship Id="rId4" Type="http://schemas.openxmlformats.org/officeDocument/2006/relationships/chart" Target="../charts/chart13.xml"/><Relationship Id="rId9" Type="http://schemas.openxmlformats.org/officeDocument/2006/relationships/chart" Target="../charts/chart18.xml"/></Relationships>
</file>

<file path=xl/drawings/drawing1.xml><?xml version="1.0" encoding="utf-8"?>
<xdr:wsDr xmlns:xdr="http://schemas.openxmlformats.org/drawingml/2006/spreadsheetDrawing" xmlns:a="http://schemas.openxmlformats.org/drawingml/2006/main">
  <xdr:twoCellAnchor>
    <xdr:from>
      <xdr:col>8</xdr:col>
      <xdr:colOff>506306</xdr:colOff>
      <xdr:row>29</xdr:row>
      <xdr:rowOff>44449</xdr:rowOff>
    </xdr:from>
    <xdr:to>
      <xdr:col>13</xdr:col>
      <xdr:colOff>487961</xdr:colOff>
      <xdr:row>43</xdr:row>
      <xdr:rowOff>79304</xdr:rowOff>
    </xdr:to>
    <xdr:graphicFrame macro="">
      <xdr:nvGraphicFramePr>
        <xdr:cNvPr id="3" name="Chart 2">
          <a:extLst>
            <a:ext uri="{FF2B5EF4-FFF2-40B4-BE49-F238E27FC236}">
              <a16:creationId xmlns:a16="http://schemas.microsoft.com/office/drawing/2014/main" id="{450DE062-4FD8-4966-282C-40F8F0A492D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144780</xdr:colOff>
      <xdr:row>45</xdr:row>
      <xdr:rowOff>100894</xdr:rowOff>
    </xdr:from>
    <xdr:to>
      <xdr:col>14</xdr:col>
      <xdr:colOff>362938</xdr:colOff>
      <xdr:row>60</xdr:row>
      <xdr:rowOff>100894</xdr:rowOff>
    </xdr:to>
    <xdr:graphicFrame macro="">
      <xdr:nvGraphicFramePr>
        <xdr:cNvPr id="4" name="Chart 3">
          <a:extLst>
            <a:ext uri="{FF2B5EF4-FFF2-40B4-BE49-F238E27FC236}">
              <a16:creationId xmlns:a16="http://schemas.microsoft.com/office/drawing/2014/main" id="{0ACC14C9-3102-8E86-DF48-0E3B03A3D9A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15</xdr:col>
      <xdr:colOff>268542</xdr:colOff>
      <xdr:row>31</xdr:row>
      <xdr:rowOff>14617</xdr:rowOff>
    </xdr:from>
    <xdr:to>
      <xdr:col>16</xdr:col>
      <xdr:colOff>1605891</xdr:colOff>
      <xdr:row>45</xdr:row>
      <xdr:rowOff>70556</xdr:rowOff>
    </xdr:to>
    <mc:AlternateContent xmlns:mc="http://schemas.openxmlformats.org/markup-compatibility/2006" xmlns:a14="http://schemas.microsoft.com/office/drawing/2010/main">
      <mc:Choice Requires="a14">
        <xdr:graphicFrame macro="">
          <xdr:nvGraphicFramePr>
            <xdr:cNvPr id="6" name="Category">
              <a:extLst>
                <a:ext uri="{FF2B5EF4-FFF2-40B4-BE49-F238E27FC236}">
                  <a16:creationId xmlns:a16="http://schemas.microsoft.com/office/drawing/2014/main" id="{E59AC206-E6A9-DB17-7D5B-A1F0BA552688}"/>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17141399" y="5920117"/>
              <a:ext cx="1762882" cy="272293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6</xdr:col>
      <xdr:colOff>1676400</xdr:colOff>
      <xdr:row>13</xdr:row>
      <xdr:rowOff>50800</xdr:rowOff>
    </xdr:from>
    <xdr:to>
      <xdr:col>12</xdr:col>
      <xdr:colOff>423335</xdr:colOff>
      <xdr:row>26</xdr:row>
      <xdr:rowOff>25400</xdr:rowOff>
    </xdr:to>
    <xdr:graphicFrame macro="">
      <xdr:nvGraphicFramePr>
        <xdr:cNvPr id="8" name="Chart 7">
          <a:extLst>
            <a:ext uri="{FF2B5EF4-FFF2-40B4-BE49-F238E27FC236}">
              <a16:creationId xmlns:a16="http://schemas.microsoft.com/office/drawing/2014/main" id="{E5321640-B181-08EC-C066-19F5C1D08D5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12</xdr:col>
      <xdr:colOff>245533</xdr:colOff>
      <xdr:row>82</xdr:row>
      <xdr:rowOff>44475</xdr:rowOff>
    </xdr:from>
    <xdr:to>
      <xdr:col>16</xdr:col>
      <xdr:colOff>262467</xdr:colOff>
      <xdr:row>96</xdr:row>
      <xdr:rowOff>50799</xdr:rowOff>
    </xdr:to>
    <xdr:graphicFrame macro="">
      <xdr:nvGraphicFramePr>
        <xdr:cNvPr id="10" name="Chart 9">
          <a:extLst>
            <a:ext uri="{FF2B5EF4-FFF2-40B4-BE49-F238E27FC236}">
              <a16:creationId xmlns:a16="http://schemas.microsoft.com/office/drawing/2014/main" id="{3C87CEAC-3B00-1708-83DD-E8B1B476552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6</xdr:col>
      <xdr:colOff>826851</xdr:colOff>
      <xdr:row>183</xdr:row>
      <xdr:rowOff>30804</xdr:rowOff>
    </xdr:from>
    <xdr:to>
      <xdr:col>16</xdr:col>
      <xdr:colOff>216478</xdr:colOff>
      <xdr:row>198</xdr:row>
      <xdr:rowOff>98898</xdr:rowOff>
    </xdr:to>
    <xdr:graphicFrame macro="">
      <xdr:nvGraphicFramePr>
        <xdr:cNvPr id="9" name="Chart 8">
          <a:extLst>
            <a:ext uri="{FF2B5EF4-FFF2-40B4-BE49-F238E27FC236}">
              <a16:creationId xmlns:a16="http://schemas.microsoft.com/office/drawing/2014/main" id="{AD7554B3-BC70-7E73-3B4E-84D5DF249EF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6</xdr:col>
      <xdr:colOff>832884</xdr:colOff>
      <xdr:row>201</xdr:row>
      <xdr:rowOff>81516</xdr:rowOff>
    </xdr:from>
    <xdr:to>
      <xdr:col>13</xdr:col>
      <xdr:colOff>531628</xdr:colOff>
      <xdr:row>216</xdr:row>
      <xdr:rowOff>166577</xdr:rowOff>
    </xdr:to>
    <xdr:graphicFrame macro="">
      <xdr:nvGraphicFramePr>
        <xdr:cNvPr id="11" name="Chart 10">
          <a:extLst>
            <a:ext uri="{FF2B5EF4-FFF2-40B4-BE49-F238E27FC236}">
              <a16:creationId xmlns:a16="http://schemas.microsoft.com/office/drawing/2014/main" id="{C7D16DC6-F7BC-18E4-EF0D-3F0C5E6607C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11</xdr:col>
      <xdr:colOff>56283</xdr:colOff>
      <xdr:row>218</xdr:row>
      <xdr:rowOff>5197</xdr:rowOff>
    </xdr:from>
    <xdr:to>
      <xdr:col>17</xdr:col>
      <xdr:colOff>246783</xdr:colOff>
      <xdr:row>231</xdr:row>
      <xdr:rowOff>20783</xdr:rowOff>
    </xdr:to>
    <xdr:graphicFrame macro="">
      <xdr:nvGraphicFramePr>
        <xdr:cNvPr id="13" name="Chart 12">
          <a:extLst>
            <a:ext uri="{FF2B5EF4-FFF2-40B4-BE49-F238E27FC236}">
              <a16:creationId xmlns:a16="http://schemas.microsoft.com/office/drawing/2014/main" id="{2392E88B-1200-8664-D5F4-78F596DE41E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6</xdr:col>
      <xdr:colOff>317500</xdr:colOff>
      <xdr:row>341</xdr:row>
      <xdr:rowOff>148430</xdr:rowOff>
    </xdr:from>
    <xdr:to>
      <xdr:col>14</xdr:col>
      <xdr:colOff>301625</xdr:colOff>
      <xdr:row>356</xdr:row>
      <xdr:rowOff>63499</xdr:rowOff>
    </xdr:to>
    <xdr:graphicFrame macro="">
      <xdr:nvGraphicFramePr>
        <xdr:cNvPr id="2" name="Chart 1">
          <a:extLst>
            <a:ext uri="{FF2B5EF4-FFF2-40B4-BE49-F238E27FC236}">
              <a16:creationId xmlns:a16="http://schemas.microsoft.com/office/drawing/2014/main" id="{8C7A8DAD-B283-6AA4-B459-13C6C4E3E74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6</xdr:col>
      <xdr:colOff>492125</xdr:colOff>
      <xdr:row>388</xdr:row>
      <xdr:rowOff>69056</xdr:rowOff>
    </xdr:from>
    <xdr:to>
      <xdr:col>12</xdr:col>
      <xdr:colOff>1055687</xdr:colOff>
      <xdr:row>403</xdr:row>
      <xdr:rowOff>73819</xdr:rowOff>
    </xdr:to>
    <xdr:graphicFrame macro="">
      <xdr:nvGraphicFramePr>
        <xdr:cNvPr id="5" name="Chart 4">
          <a:extLst>
            <a:ext uri="{FF2B5EF4-FFF2-40B4-BE49-F238E27FC236}">
              <a16:creationId xmlns:a16="http://schemas.microsoft.com/office/drawing/2014/main" id="{B7BC93A8-E569-18BD-3BB0-7770E88EBCE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4</xdr:col>
      <xdr:colOff>413425</xdr:colOff>
      <xdr:row>0</xdr:row>
      <xdr:rowOff>64851</xdr:rowOff>
    </xdr:from>
    <xdr:to>
      <xdr:col>19</xdr:col>
      <xdr:colOff>308042</xdr:colOff>
      <xdr:row>28</xdr:row>
      <xdr:rowOff>16212</xdr:rowOff>
    </xdr:to>
    <xdr:sp macro="" textlink="">
      <xdr:nvSpPr>
        <xdr:cNvPr id="35" name="Rectangle 34">
          <a:extLst>
            <a:ext uri="{FF2B5EF4-FFF2-40B4-BE49-F238E27FC236}">
              <a16:creationId xmlns:a16="http://schemas.microsoft.com/office/drawing/2014/main" id="{BCEA2383-5B7A-F8BD-B61B-80DFB5E6AD2B}"/>
            </a:ext>
          </a:extLst>
        </xdr:cNvPr>
        <xdr:cNvSpPr/>
      </xdr:nvSpPr>
      <xdr:spPr>
        <a:xfrm>
          <a:off x="2851825" y="64851"/>
          <a:ext cx="9038617" cy="5072001"/>
        </a:xfrm>
        <a:prstGeom prst="rect">
          <a:avLst/>
        </a:prstGeom>
        <a:solidFill>
          <a:schemeClr val="bg2"/>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4</xdr:col>
      <xdr:colOff>424701</xdr:colOff>
      <xdr:row>0</xdr:row>
      <xdr:rowOff>68681</xdr:rowOff>
    </xdr:from>
    <xdr:to>
      <xdr:col>19</xdr:col>
      <xdr:colOff>301207</xdr:colOff>
      <xdr:row>3</xdr:row>
      <xdr:rowOff>70701</xdr:rowOff>
    </xdr:to>
    <xdr:sp macro="" textlink="">
      <xdr:nvSpPr>
        <xdr:cNvPr id="4" name="Rectangle 3">
          <a:extLst>
            <a:ext uri="{FF2B5EF4-FFF2-40B4-BE49-F238E27FC236}">
              <a16:creationId xmlns:a16="http://schemas.microsoft.com/office/drawing/2014/main" id="{1E90BDDE-957A-5257-AF52-0DBA100143FF}"/>
            </a:ext>
          </a:extLst>
        </xdr:cNvPr>
        <xdr:cNvSpPr/>
      </xdr:nvSpPr>
      <xdr:spPr>
        <a:xfrm>
          <a:off x="2856616" y="68681"/>
          <a:ext cx="8996187" cy="561360"/>
        </a:xfrm>
        <a:prstGeom prst="rect">
          <a:avLst/>
        </a:prstGeom>
        <a:solidFill>
          <a:srgbClr val="00206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2500" b="1"/>
            <a:t>Inventory Management &amp; Reorder Optimization Dashboard</a:t>
          </a:r>
        </a:p>
      </xdr:txBody>
    </xdr:sp>
    <xdr:clientData/>
  </xdr:twoCellAnchor>
  <xdr:twoCellAnchor>
    <xdr:from>
      <xdr:col>4</xdr:col>
      <xdr:colOff>551458</xdr:colOff>
      <xdr:row>15</xdr:row>
      <xdr:rowOff>77868</xdr:rowOff>
    </xdr:from>
    <xdr:to>
      <xdr:col>6</xdr:col>
      <xdr:colOff>539517</xdr:colOff>
      <xdr:row>18</xdr:row>
      <xdr:rowOff>150128</xdr:rowOff>
    </xdr:to>
    <xdr:sp macro="" textlink="Inventory_Status!E129">
      <xdr:nvSpPr>
        <xdr:cNvPr id="5" name="Rectangle: Rounded Corners 4">
          <a:extLst>
            <a:ext uri="{FF2B5EF4-FFF2-40B4-BE49-F238E27FC236}">
              <a16:creationId xmlns:a16="http://schemas.microsoft.com/office/drawing/2014/main" id="{334074D7-721C-BA5D-4598-F553469CBFC1}"/>
            </a:ext>
          </a:extLst>
        </xdr:cNvPr>
        <xdr:cNvSpPr/>
      </xdr:nvSpPr>
      <xdr:spPr>
        <a:xfrm>
          <a:off x="2998757" y="2831080"/>
          <a:ext cx="1211709" cy="622902"/>
        </a:xfrm>
        <a:prstGeom prst="roundRect">
          <a:avLst>
            <a:gd name="adj" fmla="val 7108"/>
          </a:avLst>
        </a:prstGeom>
        <a:solidFill>
          <a:srgbClr val="00206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fld id="{745CC79E-05AD-4389-92D4-D3282222B58D}" type="TxLink">
            <a:rPr lang="en-US" sz="2400" b="1" i="0" u="none" strike="noStrike">
              <a:solidFill>
                <a:schemeClr val="bg1"/>
              </a:solidFill>
              <a:latin typeface="Aptos Narrow"/>
            </a:rPr>
            <a:pPr algn="ctr"/>
            <a:t>$ 697K</a:t>
          </a:fld>
          <a:endParaRPr lang="en-US" sz="3600" b="1">
            <a:solidFill>
              <a:schemeClr val="bg1"/>
            </a:solidFill>
          </a:endParaRPr>
        </a:p>
      </xdr:txBody>
    </xdr:sp>
    <xdr:clientData/>
  </xdr:twoCellAnchor>
  <xdr:twoCellAnchor>
    <xdr:from>
      <xdr:col>4</xdr:col>
      <xdr:colOff>549993</xdr:colOff>
      <xdr:row>19</xdr:row>
      <xdr:rowOff>50059</xdr:rowOff>
    </xdr:from>
    <xdr:to>
      <xdr:col>6</xdr:col>
      <xdr:colOff>533957</xdr:colOff>
      <xdr:row>22</xdr:row>
      <xdr:rowOff>116804</xdr:rowOff>
    </xdr:to>
    <xdr:sp macro="" textlink="Product_Master!D128">
      <xdr:nvSpPr>
        <xdr:cNvPr id="6" name="Rectangle: Rounded Corners 5">
          <a:extLst>
            <a:ext uri="{FF2B5EF4-FFF2-40B4-BE49-F238E27FC236}">
              <a16:creationId xmlns:a16="http://schemas.microsoft.com/office/drawing/2014/main" id="{8E39CEA4-7A34-494C-9016-3F428FECA690}"/>
            </a:ext>
          </a:extLst>
        </xdr:cNvPr>
        <xdr:cNvSpPr/>
      </xdr:nvSpPr>
      <xdr:spPr>
        <a:xfrm>
          <a:off x="2985731" y="3527308"/>
          <a:ext cx="1201833" cy="615784"/>
        </a:xfrm>
        <a:prstGeom prst="roundRect">
          <a:avLst>
            <a:gd name="adj" fmla="val 7108"/>
          </a:avLst>
        </a:prstGeom>
        <a:solidFill>
          <a:srgbClr val="00206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fld id="{D2EE8F26-D31D-441A-AF66-EEBA0EAB3BD3}" type="TxLink">
            <a:rPr lang="en-US" sz="2400" b="1" i="0" u="none" strike="noStrike">
              <a:solidFill>
                <a:schemeClr val="bg1"/>
              </a:solidFill>
              <a:latin typeface="Aptos Narrow"/>
            </a:rPr>
            <a:pPr algn="ctr"/>
            <a:t>5.85</a:t>
          </a:fld>
          <a:endParaRPr lang="en-IN" sz="2400" b="1">
            <a:solidFill>
              <a:schemeClr val="bg1"/>
            </a:solidFill>
          </a:endParaRPr>
        </a:p>
      </xdr:txBody>
    </xdr:sp>
    <xdr:clientData/>
  </xdr:twoCellAnchor>
  <xdr:twoCellAnchor>
    <xdr:from>
      <xdr:col>4</xdr:col>
      <xdr:colOff>556469</xdr:colOff>
      <xdr:row>23</xdr:row>
      <xdr:rowOff>38935</xdr:rowOff>
    </xdr:from>
    <xdr:to>
      <xdr:col>6</xdr:col>
      <xdr:colOff>533957</xdr:colOff>
      <xdr:row>26</xdr:row>
      <xdr:rowOff>181436</xdr:rowOff>
    </xdr:to>
    <xdr:sp macro="" textlink="Inventory_Status!E131">
      <xdr:nvSpPr>
        <xdr:cNvPr id="7" name="Rectangle: Rounded Corners 6">
          <a:extLst>
            <a:ext uri="{FF2B5EF4-FFF2-40B4-BE49-F238E27FC236}">
              <a16:creationId xmlns:a16="http://schemas.microsoft.com/office/drawing/2014/main" id="{04DDC66A-C255-4CE3-81F1-0824970522DE}"/>
            </a:ext>
          </a:extLst>
        </xdr:cNvPr>
        <xdr:cNvSpPr/>
      </xdr:nvSpPr>
      <xdr:spPr>
        <a:xfrm>
          <a:off x="3003768" y="4260526"/>
          <a:ext cx="1201138" cy="693144"/>
        </a:xfrm>
        <a:prstGeom prst="roundRect">
          <a:avLst>
            <a:gd name="adj" fmla="val 7108"/>
          </a:avLst>
        </a:prstGeom>
        <a:solidFill>
          <a:srgbClr val="00206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fld id="{A5C517B4-DCCB-4248-92B8-4B3CB746FE6B}" type="TxLink">
            <a:rPr lang="en-US" sz="2800" b="1" i="0" u="none" strike="noStrike">
              <a:solidFill>
                <a:schemeClr val="bg1"/>
              </a:solidFill>
              <a:latin typeface="Aptos Narrow"/>
            </a:rPr>
            <a:pPr algn="ctr"/>
            <a:t>6</a:t>
          </a:fld>
          <a:endParaRPr lang="en-IN" sz="2800">
            <a:solidFill>
              <a:schemeClr val="bg1"/>
            </a:solidFill>
          </a:endParaRPr>
        </a:p>
      </xdr:txBody>
    </xdr:sp>
    <xdr:clientData/>
  </xdr:twoCellAnchor>
  <xdr:twoCellAnchor>
    <xdr:from>
      <xdr:col>4</xdr:col>
      <xdr:colOff>556591</xdr:colOff>
      <xdr:row>11</xdr:row>
      <xdr:rowOff>38934</xdr:rowOff>
    </xdr:from>
    <xdr:to>
      <xdr:col>6</xdr:col>
      <xdr:colOff>539519</xdr:colOff>
      <xdr:row>14</xdr:row>
      <xdr:rowOff>161162</xdr:rowOff>
    </xdr:to>
    <xdr:sp macro="" textlink="Reorder_Optimization!F126">
      <xdr:nvSpPr>
        <xdr:cNvPr id="8" name="Rectangle: Rounded Corners 7">
          <a:extLst>
            <a:ext uri="{FF2B5EF4-FFF2-40B4-BE49-F238E27FC236}">
              <a16:creationId xmlns:a16="http://schemas.microsoft.com/office/drawing/2014/main" id="{5E6D3116-110F-42B6-BA0C-617F692F50FF}"/>
            </a:ext>
          </a:extLst>
        </xdr:cNvPr>
        <xdr:cNvSpPr/>
      </xdr:nvSpPr>
      <xdr:spPr>
        <a:xfrm>
          <a:off x="3003890" y="2057956"/>
          <a:ext cx="1206578" cy="672870"/>
        </a:xfrm>
        <a:prstGeom prst="roundRect">
          <a:avLst>
            <a:gd name="adj" fmla="val 7108"/>
          </a:avLst>
        </a:prstGeom>
        <a:solidFill>
          <a:srgbClr val="002060"/>
        </a:solidFill>
        <a:ln>
          <a:noFill/>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fld id="{F90EC313-0A12-4862-A284-A58D223A23A5}" type="TxLink">
            <a:rPr lang="en-US" sz="2800" b="1" i="0" u="none" strike="noStrike">
              <a:solidFill>
                <a:schemeClr val="bg1"/>
              </a:solidFill>
              <a:latin typeface="Aptos Narrow"/>
            </a:rPr>
            <a:pPr algn="ctr"/>
            <a:t>67</a:t>
          </a:fld>
          <a:endParaRPr lang="en-IN" sz="2800">
            <a:solidFill>
              <a:schemeClr val="bg1"/>
            </a:solidFill>
          </a:endParaRPr>
        </a:p>
      </xdr:txBody>
    </xdr:sp>
    <xdr:clientData/>
  </xdr:twoCellAnchor>
  <xdr:twoCellAnchor editAs="oneCell">
    <xdr:from>
      <xdr:col>4</xdr:col>
      <xdr:colOff>548453</xdr:colOff>
      <xdr:row>4</xdr:row>
      <xdr:rowOff>22248</xdr:rowOff>
    </xdr:from>
    <xdr:to>
      <xdr:col>6</xdr:col>
      <xdr:colOff>545080</xdr:colOff>
      <xdr:row>10</xdr:row>
      <xdr:rowOff>146674</xdr:rowOff>
    </xdr:to>
    <mc:AlternateContent xmlns:mc="http://schemas.openxmlformats.org/markup-compatibility/2006" xmlns:a14="http://schemas.microsoft.com/office/drawing/2010/main">
      <mc:Choice Requires="a14">
        <xdr:graphicFrame macro="">
          <xdr:nvGraphicFramePr>
            <xdr:cNvPr id="13" name="Category 1">
              <a:extLst>
                <a:ext uri="{FF2B5EF4-FFF2-40B4-BE49-F238E27FC236}">
                  <a16:creationId xmlns:a16="http://schemas.microsoft.com/office/drawing/2014/main" id="{65B335DF-6C52-4EBB-AF91-EB5DA1129B59}"/>
                </a:ext>
              </a:extLst>
            </xdr:cNvPr>
            <xdr:cNvGraphicFramePr/>
          </xdr:nvGraphicFramePr>
          <xdr:xfrm>
            <a:off x="0" y="0"/>
            <a:ext cx="0" cy="0"/>
          </xdr:xfrm>
          <a:graphic>
            <a:graphicData uri="http://schemas.microsoft.com/office/drawing/2010/slicer">
              <sle:slicer xmlns:sle="http://schemas.microsoft.com/office/drawing/2010/slicer" name="Category 1"/>
            </a:graphicData>
          </a:graphic>
        </xdr:graphicFrame>
      </mc:Choice>
      <mc:Fallback xmlns="">
        <xdr:sp macro="" textlink="">
          <xdr:nvSpPr>
            <xdr:cNvPr id="0" name=""/>
            <xdr:cNvSpPr>
              <a:spLocks noTextEdit="1"/>
            </xdr:cNvSpPr>
          </xdr:nvSpPr>
          <xdr:spPr>
            <a:xfrm>
              <a:off x="2993552" y="759127"/>
              <a:ext cx="1219176" cy="122974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11</xdr:col>
      <xdr:colOff>183725</xdr:colOff>
      <xdr:row>58</xdr:row>
      <xdr:rowOff>0</xdr:rowOff>
    </xdr:from>
    <xdr:to>
      <xdr:col>16</xdr:col>
      <xdr:colOff>164756</xdr:colOff>
      <xdr:row>68</xdr:row>
      <xdr:rowOff>8671</xdr:rowOff>
    </xdr:to>
    <xdr:graphicFrame macro="">
      <xdr:nvGraphicFramePr>
        <xdr:cNvPr id="46" name="Chart 45">
          <a:extLst>
            <a:ext uri="{FF2B5EF4-FFF2-40B4-BE49-F238E27FC236}">
              <a16:creationId xmlns:a16="http://schemas.microsoft.com/office/drawing/2014/main" id="{14DD6151-4784-4153-A60D-64C40BCEFBB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16</xdr:col>
      <xdr:colOff>359</xdr:colOff>
      <xdr:row>57</xdr:row>
      <xdr:rowOff>110102</xdr:rowOff>
    </xdr:from>
    <xdr:to>
      <xdr:col>20</xdr:col>
      <xdr:colOff>107774</xdr:colOff>
      <xdr:row>70</xdr:row>
      <xdr:rowOff>141110</xdr:rowOff>
    </xdr:to>
    <xdr:graphicFrame macro="">
      <xdr:nvGraphicFramePr>
        <xdr:cNvPr id="47" name="Chart 46">
          <a:extLst>
            <a:ext uri="{FF2B5EF4-FFF2-40B4-BE49-F238E27FC236}">
              <a16:creationId xmlns:a16="http://schemas.microsoft.com/office/drawing/2014/main" id="{6DB15D10-1FF6-4685-92DB-02ADEFFE3E7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71445</xdr:colOff>
      <xdr:row>71</xdr:row>
      <xdr:rowOff>108819</xdr:rowOff>
    </xdr:from>
    <xdr:to>
      <xdr:col>8</xdr:col>
      <xdr:colOff>40766</xdr:colOff>
      <xdr:row>82</xdr:row>
      <xdr:rowOff>22754</xdr:rowOff>
    </xdr:to>
    <xdr:graphicFrame macro="">
      <xdr:nvGraphicFramePr>
        <xdr:cNvPr id="49" name="Chart 48">
          <a:extLst>
            <a:ext uri="{FF2B5EF4-FFF2-40B4-BE49-F238E27FC236}">
              <a16:creationId xmlns:a16="http://schemas.microsoft.com/office/drawing/2014/main" id="{5AC8F3CD-1B86-44DD-98F1-F73689A40EB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12</xdr:col>
      <xdr:colOff>242455</xdr:colOff>
      <xdr:row>44</xdr:row>
      <xdr:rowOff>103907</xdr:rowOff>
    </xdr:from>
    <xdr:to>
      <xdr:col>20</xdr:col>
      <xdr:colOff>173182</xdr:colOff>
      <xdr:row>56</xdr:row>
      <xdr:rowOff>128354</xdr:rowOff>
    </xdr:to>
    <xdr:graphicFrame macro="">
      <xdr:nvGraphicFramePr>
        <xdr:cNvPr id="63" name="Chart 62">
          <a:extLst>
            <a:ext uri="{FF2B5EF4-FFF2-40B4-BE49-F238E27FC236}">
              <a16:creationId xmlns:a16="http://schemas.microsoft.com/office/drawing/2014/main" id="{53F71000-416D-40D2-8414-588CAD959D6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7</xdr:col>
      <xdr:colOff>69271</xdr:colOff>
      <xdr:row>3</xdr:row>
      <xdr:rowOff>171659</xdr:rowOff>
    </xdr:from>
    <xdr:to>
      <xdr:col>19</xdr:col>
      <xdr:colOff>242453</xdr:colOff>
      <xdr:row>16</xdr:row>
      <xdr:rowOff>106530</xdr:rowOff>
    </xdr:to>
    <xdr:sp macro="" textlink="">
      <xdr:nvSpPr>
        <xdr:cNvPr id="22" name="Rectangle: Rounded Corners 21">
          <a:extLst>
            <a:ext uri="{FF2B5EF4-FFF2-40B4-BE49-F238E27FC236}">
              <a16:creationId xmlns:a16="http://schemas.microsoft.com/office/drawing/2014/main" id="{9F47FB42-7141-4963-B35F-56C63CA61C23}"/>
            </a:ext>
          </a:extLst>
        </xdr:cNvPr>
        <xdr:cNvSpPr/>
      </xdr:nvSpPr>
      <xdr:spPr>
        <a:xfrm>
          <a:off x="4352635" y="725841"/>
          <a:ext cx="7516091" cy="2336325"/>
        </a:xfrm>
        <a:prstGeom prst="roundRect">
          <a:avLst>
            <a:gd name="adj" fmla="val 0"/>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7</xdr:col>
      <xdr:colOff>66744</xdr:colOff>
      <xdr:row>16</xdr:row>
      <xdr:rowOff>173183</xdr:rowOff>
    </xdr:from>
    <xdr:to>
      <xdr:col>19</xdr:col>
      <xdr:colOff>238606</xdr:colOff>
      <xdr:row>27</xdr:row>
      <xdr:rowOff>105679</xdr:rowOff>
    </xdr:to>
    <xdr:sp macro="" textlink="">
      <xdr:nvSpPr>
        <xdr:cNvPr id="23" name="Rectangle: Rounded Corners 22">
          <a:extLst>
            <a:ext uri="{FF2B5EF4-FFF2-40B4-BE49-F238E27FC236}">
              <a16:creationId xmlns:a16="http://schemas.microsoft.com/office/drawing/2014/main" id="{3C9683EE-4BEC-4352-9A95-345A50F3FC57}"/>
            </a:ext>
          </a:extLst>
        </xdr:cNvPr>
        <xdr:cNvSpPr/>
      </xdr:nvSpPr>
      <xdr:spPr>
        <a:xfrm>
          <a:off x="4357135" y="3088661"/>
          <a:ext cx="7526819" cy="1936888"/>
        </a:xfrm>
        <a:prstGeom prst="roundRect">
          <a:avLst>
            <a:gd name="adj" fmla="val 0"/>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12</xdr:col>
      <xdr:colOff>80817</xdr:colOff>
      <xdr:row>4</xdr:row>
      <xdr:rowOff>58593</xdr:rowOff>
    </xdr:from>
    <xdr:to>
      <xdr:col>19</xdr:col>
      <xdr:colOff>57726</xdr:colOff>
      <xdr:row>15</xdr:row>
      <xdr:rowOff>173182</xdr:rowOff>
    </xdr:to>
    <xdr:sp macro="" textlink="">
      <xdr:nvSpPr>
        <xdr:cNvPr id="18" name="Rectangle: Rounded Corners 17">
          <a:extLst>
            <a:ext uri="{FF2B5EF4-FFF2-40B4-BE49-F238E27FC236}">
              <a16:creationId xmlns:a16="http://schemas.microsoft.com/office/drawing/2014/main" id="{99EF61DF-2732-4507-AB05-3718C98408F5}"/>
            </a:ext>
          </a:extLst>
        </xdr:cNvPr>
        <xdr:cNvSpPr/>
      </xdr:nvSpPr>
      <xdr:spPr>
        <a:xfrm>
          <a:off x="7423726" y="797502"/>
          <a:ext cx="4260273" cy="2146589"/>
        </a:xfrm>
        <a:prstGeom prst="roundRect">
          <a:avLst>
            <a:gd name="adj" fmla="val 3369"/>
          </a:avLst>
        </a:prstGeom>
        <a:solidFill>
          <a:schemeClr val="bg1"/>
        </a:solidFill>
        <a:ln>
          <a:noFill/>
        </a:ln>
        <a:effectLst>
          <a:outerShdw blurRad="50800" dir="2700000" sx="102000" sy="102000" algn="tl" rotWithShape="0">
            <a:prstClr val="black">
              <a:alpha val="26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7</xdr:col>
      <xdr:colOff>224415</xdr:colOff>
      <xdr:row>4</xdr:row>
      <xdr:rowOff>72160</xdr:rowOff>
    </xdr:from>
    <xdr:to>
      <xdr:col>11</xdr:col>
      <xdr:colOff>545884</xdr:colOff>
      <xdr:row>16</xdr:row>
      <xdr:rowOff>11547</xdr:rowOff>
    </xdr:to>
    <xdr:sp macro="" textlink="">
      <xdr:nvSpPr>
        <xdr:cNvPr id="17" name="Rectangle: Rounded Corners 16">
          <a:extLst>
            <a:ext uri="{FF2B5EF4-FFF2-40B4-BE49-F238E27FC236}">
              <a16:creationId xmlns:a16="http://schemas.microsoft.com/office/drawing/2014/main" id="{E153F14D-FBD1-1BBD-7E89-E3AD72CDB7D2}"/>
            </a:ext>
          </a:extLst>
        </xdr:cNvPr>
        <xdr:cNvSpPr/>
      </xdr:nvSpPr>
      <xdr:spPr>
        <a:xfrm>
          <a:off x="4511555" y="812796"/>
          <a:ext cx="2771264" cy="2161293"/>
        </a:xfrm>
        <a:prstGeom prst="roundRect">
          <a:avLst>
            <a:gd name="adj" fmla="val 3369"/>
          </a:avLst>
        </a:prstGeom>
        <a:solidFill>
          <a:schemeClr val="bg1"/>
        </a:solidFill>
        <a:ln>
          <a:noFill/>
        </a:ln>
        <a:effectLst>
          <a:outerShdw blurRad="50800" dir="2700000" sx="102000" sy="102000" algn="tl" rotWithShape="0">
            <a:prstClr val="black">
              <a:alpha val="27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400" b="1">
              <a:solidFill>
                <a:schemeClr val="tx1">
                  <a:lumMod val="50000"/>
                  <a:lumOff val="50000"/>
                </a:schemeClr>
              </a:solidFill>
            </a:rPr>
            <a:t>Top</a:t>
          </a:r>
          <a:r>
            <a:rPr lang="en-IN" sz="1400" b="1" baseline="0">
              <a:solidFill>
                <a:schemeClr val="tx1">
                  <a:lumMod val="50000"/>
                  <a:lumOff val="50000"/>
                </a:schemeClr>
              </a:solidFill>
            </a:rPr>
            <a:t> </a:t>
          </a:r>
          <a:r>
            <a:rPr lang="en-IN" sz="1400" b="1">
              <a:solidFill>
                <a:schemeClr val="tx1">
                  <a:lumMod val="50000"/>
                  <a:lumOff val="50000"/>
                </a:schemeClr>
              </a:solidFill>
            </a:rPr>
            <a:t>7 Fast-Moving Products</a:t>
          </a:r>
        </a:p>
      </xdr:txBody>
    </xdr:sp>
    <xdr:clientData/>
  </xdr:twoCellAnchor>
  <xdr:twoCellAnchor>
    <xdr:from>
      <xdr:col>7</xdr:col>
      <xdr:colOff>245126</xdr:colOff>
      <xdr:row>17</xdr:row>
      <xdr:rowOff>100246</xdr:rowOff>
    </xdr:from>
    <xdr:to>
      <xdr:col>11</xdr:col>
      <xdr:colOff>11546</xdr:colOff>
      <xdr:row>26</xdr:row>
      <xdr:rowOff>173182</xdr:rowOff>
    </xdr:to>
    <xdr:sp macro="" textlink="">
      <xdr:nvSpPr>
        <xdr:cNvPr id="19" name="Rectangle: Rounded Corners 18">
          <a:extLst>
            <a:ext uri="{FF2B5EF4-FFF2-40B4-BE49-F238E27FC236}">
              <a16:creationId xmlns:a16="http://schemas.microsoft.com/office/drawing/2014/main" id="{0B4E2A7F-9EE7-4937-A878-E642E3090C70}"/>
            </a:ext>
          </a:extLst>
        </xdr:cNvPr>
        <xdr:cNvSpPr/>
      </xdr:nvSpPr>
      <xdr:spPr>
        <a:xfrm>
          <a:off x="4535517" y="3197942"/>
          <a:ext cx="2218072" cy="1712892"/>
        </a:xfrm>
        <a:prstGeom prst="roundRect">
          <a:avLst>
            <a:gd name="adj" fmla="val 3369"/>
          </a:avLst>
        </a:prstGeom>
        <a:solidFill>
          <a:schemeClr val="bg1"/>
        </a:solidFill>
        <a:ln>
          <a:noFill/>
        </a:ln>
        <a:effectLst>
          <a:outerShdw blurRad="50800" dir="2700000" sx="102000" sy="102000" algn="tl" rotWithShape="0">
            <a:prstClr val="black">
              <a:alpha val="27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endParaRPr lang="en-IN" sz="1100" b="1">
            <a:solidFill>
              <a:schemeClr val="tx1">
                <a:lumMod val="50000"/>
                <a:lumOff val="50000"/>
              </a:schemeClr>
            </a:solidFill>
          </a:endParaRPr>
        </a:p>
      </xdr:txBody>
    </xdr:sp>
    <xdr:clientData/>
  </xdr:twoCellAnchor>
  <xdr:twoCellAnchor>
    <xdr:from>
      <xdr:col>11</xdr:col>
      <xdr:colOff>103909</xdr:colOff>
      <xdr:row>17</xdr:row>
      <xdr:rowOff>115454</xdr:rowOff>
    </xdr:from>
    <xdr:to>
      <xdr:col>14</xdr:col>
      <xdr:colOff>521138</xdr:colOff>
      <xdr:row>26</xdr:row>
      <xdr:rowOff>173182</xdr:rowOff>
    </xdr:to>
    <xdr:sp macro="" textlink="">
      <xdr:nvSpPr>
        <xdr:cNvPr id="20" name="Rectangle: Rounded Corners 19">
          <a:extLst>
            <a:ext uri="{FF2B5EF4-FFF2-40B4-BE49-F238E27FC236}">
              <a16:creationId xmlns:a16="http://schemas.microsoft.com/office/drawing/2014/main" id="{216A00F4-473B-4844-96CB-243EC62F3E54}"/>
            </a:ext>
          </a:extLst>
        </xdr:cNvPr>
        <xdr:cNvSpPr/>
      </xdr:nvSpPr>
      <xdr:spPr>
        <a:xfrm>
          <a:off x="6786855" y="3266427"/>
          <a:ext cx="2239851" cy="1725890"/>
        </a:xfrm>
        <a:prstGeom prst="roundRect">
          <a:avLst>
            <a:gd name="adj" fmla="val 3369"/>
          </a:avLst>
        </a:prstGeom>
        <a:solidFill>
          <a:schemeClr val="bg1"/>
        </a:solidFill>
        <a:ln>
          <a:noFill/>
        </a:ln>
        <a:effectLst>
          <a:outerShdw blurRad="50800" dir="2700000" sx="102000" sy="102000" algn="tl" rotWithShape="0">
            <a:prstClr val="black">
              <a:alpha val="27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15</xdr:col>
      <xdr:colOff>2034</xdr:colOff>
      <xdr:row>17</xdr:row>
      <xdr:rowOff>138546</xdr:rowOff>
    </xdr:from>
    <xdr:to>
      <xdr:col>19</xdr:col>
      <xdr:colOff>80818</xdr:colOff>
      <xdr:row>26</xdr:row>
      <xdr:rowOff>161637</xdr:rowOff>
    </xdr:to>
    <xdr:sp macro="" textlink="">
      <xdr:nvSpPr>
        <xdr:cNvPr id="21" name="Rectangle: Rounded Corners 20">
          <a:extLst>
            <a:ext uri="{FF2B5EF4-FFF2-40B4-BE49-F238E27FC236}">
              <a16:creationId xmlns:a16="http://schemas.microsoft.com/office/drawing/2014/main" id="{79660E69-6843-4DC0-BABE-6DC9A10686C1}"/>
            </a:ext>
          </a:extLst>
        </xdr:cNvPr>
        <xdr:cNvSpPr/>
      </xdr:nvSpPr>
      <xdr:spPr>
        <a:xfrm>
          <a:off x="9146034" y="3262746"/>
          <a:ext cx="2517184" cy="1677079"/>
        </a:xfrm>
        <a:prstGeom prst="roundRect">
          <a:avLst>
            <a:gd name="adj" fmla="val 3369"/>
          </a:avLst>
        </a:prstGeom>
        <a:solidFill>
          <a:schemeClr val="bg1"/>
        </a:solidFill>
        <a:ln>
          <a:noFill/>
        </a:ln>
        <a:effectLst>
          <a:outerShdw blurRad="50800" dir="2700000" sx="102000" sy="102000" algn="tl" rotWithShape="0">
            <a:prstClr val="black">
              <a:alpha val="27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7</xdr:col>
      <xdr:colOff>244594</xdr:colOff>
      <xdr:row>6</xdr:row>
      <xdr:rowOff>142068</xdr:rowOff>
    </xdr:from>
    <xdr:to>
      <xdr:col>11</xdr:col>
      <xdr:colOff>484323</xdr:colOff>
      <xdr:row>15</xdr:row>
      <xdr:rowOff>135612</xdr:rowOff>
    </xdr:to>
    <xdr:graphicFrame macro="">
      <xdr:nvGraphicFramePr>
        <xdr:cNvPr id="11" name="Chart 10">
          <a:extLst>
            <a:ext uri="{FF2B5EF4-FFF2-40B4-BE49-F238E27FC236}">
              <a16:creationId xmlns:a16="http://schemas.microsoft.com/office/drawing/2014/main" id="{31BDE53F-9D19-417D-9857-0E2FC536DCE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11</xdr:col>
      <xdr:colOff>581891</xdr:colOff>
      <xdr:row>3</xdr:row>
      <xdr:rowOff>62346</xdr:rowOff>
    </xdr:from>
    <xdr:to>
      <xdr:col>19</xdr:col>
      <xdr:colOff>103909</xdr:colOff>
      <xdr:row>16</xdr:row>
      <xdr:rowOff>145472</xdr:rowOff>
    </xdr:to>
    <xdr:graphicFrame macro="">
      <xdr:nvGraphicFramePr>
        <xdr:cNvPr id="15" name="Chart 14">
          <a:extLst>
            <a:ext uri="{FF2B5EF4-FFF2-40B4-BE49-F238E27FC236}">
              <a16:creationId xmlns:a16="http://schemas.microsoft.com/office/drawing/2014/main" id="{13E3C980-1CDD-46BE-913B-CBE54FBBA2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7</xdr:col>
      <xdr:colOff>200837</xdr:colOff>
      <xdr:row>18</xdr:row>
      <xdr:rowOff>35442</xdr:rowOff>
    </xdr:from>
    <xdr:to>
      <xdr:col>11</xdr:col>
      <xdr:colOff>59070</xdr:colOff>
      <xdr:row>27</xdr:row>
      <xdr:rowOff>70883</xdr:rowOff>
    </xdr:to>
    <xdr:graphicFrame macro="">
      <xdr:nvGraphicFramePr>
        <xdr:cNvPr id="16" name="Chart 15">
          <a:extLst>
            <a:ext uri="{FF2B5EF4-FFF2-40B4-BE49-F238E27FC236}">
              <a16:creationId xmlns:a16="http://schemas.microsoft.com/office/drawing/2014/main" id="{72ECB4E7-FFE9-4D50-B369-BA9F5BCE917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10</xdr:col>
      <xdr:colOff>290898</xdr:colOff>
      <xdr:row>16</xdr:row>
      <xdr:rowOff>38100</xdr:rowOff>
    </xdr:from>
    <xdr:to>
      <xdr:col>14</xdr:col>
      <xdr:colOff>579222</xdr:colOff>
      <xdr:row>26</xdr:row>
      <xdr:rowOff>156005</xdr:rowOff>
    </xdr:to>
    <xdr:graphicFrame macro="">
      <xdr:nvGraphicFramePr>
        <xdr:cNvPr id="9" name="Chart 8">
          <a:extLst>
            <a:ext uri="{FF2B5EF4-FFF2-40B4-BE49-F238E27FC236}">
              <a16:creationId xmlns:a16="http://schemas.microsoft.com/office/drawing/2014/main" id="{3D5B806A-6433-4A92-8950-F34114E6633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15</xdr:col>
      <xdr:colOff>17317</xdr:colOff>
      <xdr:row>18</xdr:row>
      <xdr:rowOff>63536</xdr:rowOff>
    </xdr:from>
    <xdr:to>
      <xdr:col>19</xdr:col>
      <xdr:colOff>30306</xdr:colOff>
      <xdr:row>27</xdr:row>
      <xdr:rowOff>4329</xdr:rowOff>
    </xdr:to>
    <xdr:graphicFrame macro="">
      <xdr:nvGraphicFramePr>
        <xdr:cNvPr id="10" name="Chart 9">
          <a:extLst>
            <a:ext uri="{FF2B5EF4-FFF2-40B4-BE49-F238E27FC236}">
              <a16:creationId xmlns:a16="http://schemas.microsoft.com/office/drawing/2014/main" id="{F7EE220D-2F2A-4C2F-AFD6-C6E7416FA0C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4</xdr:col>
      <xdr:colOff>592297</xdr:colOff>
      <xdr:row>21</xdr:row>
      <xdr:rowOff>65315</xdr:rowOff>
    </xdr:from>
    <xdr:to>
      <xdr:col>7</xdr:col>
      <xdr:colOff>230209</xdr:colOff>
      <xdr:row>23</xdr:row>
      <xdr:rowOff>178526</xdr:rowOff>
    </xdr:to>
    <xdr:sp macro="" textlink="">
      <xdr:nvSpPr>
        <xdr:cNvPr id="54" name="Rectangle 53">
          <a:extLst>
            <a:ext uri="{FF2B5EF4-FFF2-40B4-BE49-F238E27FC236}">
              <a16:creationId xmlns:a16="http://schemas.microsoft.com/office/drawing/2014/main" id="{D07278E3-7002-08D9-203F-3AC0A7D3FC1E}"/>
            </a:ext>
          </a:extLst>
        </xdr:cNvPr>
        <xdr:cNvSpPr/>
      </xdr:nvSpPr>
      <xdr:spPr>
        <a:xfrm>
          <a:off x="3028035" y="3908590"/>
          <a:ext cx="1464715" cy="479237"/>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r>
            <a:rPr lang="en-IN" sz="900" b="1">
              <a:solidFill>
                <a:schemeClr val="lt1"/>
              </a:solidFill>
              <a:effectLst/>
              <a:latin typeface="+mn-lt"/>
              <a:ea typeface="+mn-ea"/>
              <a:cs typeface="+mn-cs"/>
            </a:rPr>
            <a:t>Avg Lead</a:t>
          </a:r>
          <a:r>
            <a:rPr lang="en-IN" sz="900" b="1" baseline="0">
              <a:solidFill>
                <a:schemeClr val="lt1"/>
              </a:solidFill>
              <a:effectLst/>
              <a:latin typeface="+mn-lt"/>
              <a:ea typeface="+mn-ea"/>
              <a:cs typeface="+mn-cs"/>
            </a:rPr>
            <a:t> Time(days)</a:t>
          </a:r>
          <a:endParaRPr lang="en-IN" sz="800">
            <a:effectLst/>
          </a:endParaRPr>
        </a:p>
      </xdr:txBody>
    </xdr:sp>
    <xdr:clientData/>
  </xdr:twoCellAnchor>
  <xdr:twoCellAnchor>
    <xdr:from>
      <xdr:col>4</xdr:col>
      <xdr:colOff>583378</xdr:colOff>
      <xdr:row>17</xdr:row>
      <xdr:rowOff>92962</xdr:rowOff>
    </xdr:from>
    <xdr:to>
      <xdr:col>7</xdr:col>
      <xdr:colOff>65884</xdr:colOff>
      <xdr:row>20</xdr:row>
      <xdr:rowOff>23293</xdr:rowOff>
    </xdr:to>
    <xdr:sp macro="" textlink="">
      <xdr:nvSpPr>
        <xdr:cNvPr id="55" name="Rectangle 54">
          <a:extLst>
            <a:ext uri="{FF2B5EF4-FFF2-40B4-BE49-F238E27FC236}">
              <a16:creationId xmlns:a16="http://schemas.microsoft.com/office/drawing/2014/main" id="{1C0C23F0-D25A-46FF-B7C5-ECB1C0537E24}"/>
            </a:ext>
          </a:extLst>
        </xdr:cNvPr>
        <xdr:cNvSpPr/>
      </xdr:nvSpPr>
      <xdr:spPr>
        <a:xfrm>
          <a:off x="3019116" y="3204185"/>
          <a:ext cx="1309309" cy="47937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900" b="1"/>
            <a:t>Total Inventory value</a:t>
          </a:r>
        </a:p>
      </xdr:txBody>
    </xdr:sp>
    <xdr:clientData/>
  </xdr:twoCellAnchor>
  <xdr:twoCellAnchor>
    <xdr:from>
      <xdr:col>5</xdr:col>
      <xdr:colOff>55084</xdr:colOff>
      <xdr:row>13</xdr:row>
      <xdr:rowOff>102698</xdr:rowOff>
    </xdr:from>
    <xdr:to>
      <xdr:col>7</xdr:col>
      <xdr:colOff>146524</xdr:colOff>
      <xdr:row>16</xdr:row>
      <xdr:rowOff>33029</xdr:rowOff>
    </xdr:to>
    <xdr:sp macro="" textlink="">
      <xdr:nvSpPr>
        <xdr:cNvPr id="56" name="Rectangle 55">
          <a:extLst>
            <a:ext uri="{FF2B5EF4-FFF2-40B4-BE49-F238E27FC236}">
              <a16:creationId xmlns:a16="http://schemas.microsoft.com/office/drawing/2014/main" id="{44818C6C-4009-47C8-B487-07E3C1795621}"/>
            </a:ext>
          </a:extLst>
        </xdr:cNvPr>
        <xdr:cNvSpPr/>
      </xdr:nvSpPr>
      <xdr:spPr>
        <a:xfrm>
          <a:off x="3099756" y="2481868"/>
          <a:ext cx="1309309" cy="479371"/>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900" b="1"/>
            <a:t>Items To Reorder</a:t>
          </a:r>
        </a:p>
      </xdr:txBody>
    </xdr:sp>
    <xdr:clientData/>
  </xdr:twoCellAnchor>
  <xdr:twoCellAnchor>
    <xdr:from>
      <xdr:col>5</xdr:col>
      <xdr:colOff>63071</xdr:colOff>
      <xdr:row>25</xdr:row>
      <xdr:rowOff>120419</xdr:rowOff>
    </xdr:from>
    <xdr:to>
      <xdr:col>7</xdr:col>
      <xdr:colOff>153845</xdr:colOff>
      <xdr:row>28</xdr:row>
      <xdr:rowOff>49145</xdr:rowOff>
    </xdr:to>
    <xdr:sp macro="" textlink="">
      <xdr:nvSpPr>
        <xdr:cNvPr id="58" name="Rectangle 57">
          <a:extLst>
            <a:ext uri="{FF2B5EF4-FFF2-40B4-BE49-F238E27FC236}">
              <a16:creationId xmlns:a16="http://schemas.microsoft.com/office/drawing/2014/main" id="{E55F7E2A-5224-4460-AB0A-6EC0D8697C13}"/>
            </a:ext>
          </a:extLst>
        </xdr:cNvPr>
        <xdr:cNvSpPr/>
      </xdr:nvSpPr>
      <xdr:spPr>
        <a:xfrm>
          <a:off x="3107743" y="4695747"/>
          <a:ext cx="1308643" cy="477765"/>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050" b="1"/>
            <a:t>Total Stockout</a:t>
          </a:r>
        </a:p>
      </xdr:txBody>
    </xdr:sp>
    <xdr:clientData/>
  </xdr:twoCellAnchor>
  <xdr:twoCellAnchor>
    <xdr:from>
      <xdr:col>7</xdr:col>
      <xdr:colOff>480393</xdr:colOff>
      <xdr:row>17</xdr:row>
      <xdr:rowOff>49694</xdr:rowOff>
    </xdr:from>
    <xdr:to>
      <xdr:col>10</xdr:col>
      <xdr:colOff>496958</xdr:colOff>
      <xdr:row>19</xdr:row>
      <xdr:rowOff>115957</xdr:rowOff>
    </xdr:to>
    <xdr:sp macro="" textlink="">
      <xdr:nvSpPr>
        <xdr:cNvPr id="66" name="Rectangle 65">
          <a:extLst>
            <a:ext uri="{FF2B5EF4-FFF2-40B4-BE49-F238E27FC236}">
              <a16:creationId xmlns:a16="http://schemas.microsoft.com/office/drawing/2014/main" id="{EE1C7AA0-8234-BC8B-E141-274059932059}"/>
            </a:ext>
          </a:extLst>
        </xdr:cNvPr>
        <xdr:cNvSpPr/>
      </xdr:nvSpPr>
      <xdr:spPr>
        <a:xfrm>
          <a:off x="4770784" y="3147390"/>
          <a:ext cx="1855304" cy="430697"/>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r>
            <a:rPr lang="en-IN" sz="1100" b="1">
              <a:solidFill>
                <a:schemeClr val="tx1">
                  <a:lumMod val="50000"/>
                  <a:lumOff val="50000"/>
                </a:schemeClr>
              </a:solidFill>
              <a:effectLst/>
              <a:latin typeface="+mn-lt"/>
              <a:ea typeface="+mn-ea"/>
              <a:cs typeface="+mn-cs"/>
            </a:rPr>
            <a:t>Reorder Urgency Ranking</a:t>
          </a:r>
          <a:endParaRPr lang="en-IN">
            <a:solidFill>
              <a:schemeClr val="tx1">
                <a:lumMod val="50000"/>
                <a:lumOff val="50000"/>
              </a:schemeClr>
            </a:solidFill>
            <a:effectLst/>
          </a:endParaRPr>
        </a:p>
      </xdr:txBody>
    </xdr:sp>
    <xdr:clientData/>
  </xdr:twoCellAnchor>
  <xdr:twoCellAnchor>
    <xdr:from>
      <xdr:col>16</xdr:col>
      <xdr:colOff>104322</xdr:colOff>
      <xdr:row>17</xdr:row>
      <xdr:rowOff>81643</xdr:rowOff>
    </xdr:from>
    <xdr:to>
      <xdr:col>18</xdr:col>
      <xdr:colOff>317500</xdr:colOff>
      <xdr:row>19</xdr:row>
      <xdr:rowOff>9071</xdr:rowOff>
    </xdr:to>
    <xdr:sp macro="" textlink="">
      <xdr:nvSpPr>
        <xdr:cNvPr id="67" name="Rectangle 66">
          <a:extLst>
            <a:ext uri="{FF2B5EF4-FFF2-40B4-BE49-F238E27FC236}">
              <a16:creationId xmlns:a16="http://schemas.microsoft.com/office/drawing/2014/main" id="{9352807B-7ED5-96B0-0324-A8D252F90F4C}"/>
            </a:ext>
          </a:extLst>
        </xdr:cNvPr>
        <xdr:cNvSpPr/>
      </xdr:nvSpPr>
      <xdr:spPr>
        <a:xfrm>
          <a:off x="9828893" y="3165929"/>
          <a:ext cx="1428750" cy="290285"/>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200" b="1">
              <a:solidFill>
                <a:schemeClr val="tx1">
                  <a:lumMod val="50000"/>
                  <a:lumOff val="50000"/>
                </a:schemeClr>
              </a:solidFill>
            </a:rPr>
            <a:t>Inventory Gap</a:t>
          </a:r>
        </a:p>
      </xdr:txBody>
    </xdr:sp>
    <xdr:clientData/>
  </xdr:twoCellAnchor>
  <xdr:twoCellAnchor editAs="oneCell">
    <xdr:from>
      <xdr:col>18</xdr:col>
      <xdr:colOff>22412</xdr:colOff>
      <xdr:row>17</xdr:row>
      <xdr:rowOff>161364</xdr:rowOff>
    </xdr:from>
    <xdr:to>
      <xdr:col>18</xdr:col>
      <xdr:colOff>127717</xdr:colOff>
      <xdr:row>19</xdr:row>
      <xdr:rowOff>13446</xdr:rowOff>
    </xdr:to>
    <xdr:pic>
      <xdr:nvPicPr>
        <xdr:cNvPr id="72" name="Picture 71">
          <a:extLst>
            <a:ext uri="{FF2B5EF4-FFF2-40B4-BE49-F238E27FC236}">
              <a16:creationId xmlns:a16="http://schemas.microsoft.com/office/drawing/2014/main" id="{8B804714-6441-5CEF-9594-6AF2EC41D5A3}"/>
            </a:ext>
          </a:extLst>
        </xdr:cNvPr>
        <xdr:cNvPicPr>
          <a:picLocks noChangeAspect="1"/>
        </xdr:cNvPicPr>
      </xdr:nvPicPr>
      <xdr:blipFill>
        <a:blip xmlns:r="http://schemas.openxmlformats.org/officeDocument/2006/relationships" r:embed="rId10"/>
        <a:stretch>
          <a:fillRect/>
        </a:stretch>
      </xdr:blipFill>
      <xdr:spPr>
        <a:xfrm>
          <a:off x="10995212" y="3285564"/>
          <a:ext cx="105305" cy="219635"/>
        </a:xfrm>
        <a:prstGeom prst="rect">
          <a:avLst/>
        </a:prstGeom>
      </xdr:spPr>
    </xdr:pic>
    <xdr:clientData/>
  </xdr:twoCellAnchor>
  <xdr:twoCellAnchor>
    <xdr:from>
      <xdr:col>18</xdr:col>
      <xdr:colOff>62754</xdr:colOff>
      <xdr:row>17</xdr:row>
      <xdr:rowOff>112057</xdr:rowOff>
    </xdr:from>
    <xdr:to>
      <xdr:col>19</xdr:col>
      <xdr:colOff>528919</xdr:colOff>
      <xdr:row>19</xdr:row>
      <xdr:rowOff>89645</xdr:rowOff>
    </xdr:to>
    <xdr:sp macro="" textlink="">
      <xdr:nvSpPr>
        <xdr:cNvPr id="73" name="Rectangle 72">
          <a:extLst>
            <a:ext uri="{FF2B5EF4-FFF2-40B4-BE49-F238E27FC236}">
              <a16:creationId xmlns:a16="http://schemas.microsoft.com/office/drawing/2014/main" id="{312E3F27-837E-D4B6-741D-551C143FC2FC}"/>
            </a:ext>
          </a:extLst>
        </xdr:cNvPr>
        <xdr:cNvSpPr/>
      </xdr:nvSpPr>
      <xdr:spPr>
        <a:xfrm>
          <a:off x="11035554" y="3236257"/>
          <a:ext cx="1075765" cy="345141"/>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r>
            <a:rPr lang="en-IN" sz="700"/>
            <a:t>Current Stock</a:t>
          </a:r>
          <a:br>
            <a:rPr lang="en-IN" sz="700"/>
          </a:br>
          <a:endParaRPr lang="en-IN" sz="700"/>
        </a:p>
      </xdr:txBody>
    </xdr:sp>
    <xdr:clientData/>
  </xdr:twoCellAnchor>
  <xdr:twoCellAnchor>
    <xdr:from>
      <xdr:col>18</xdr:col>
      <xdr:colOff>58271</xdr:colOff>
      <xdr:row>18</xdr:row>
      <xdr:rowOff>80681</xdr:rowOff>
    </xdr:from>
    <xdr:to>
      <xdr:col>19</xdr:col>
      <xdr:colOff>524436</xdr:colOff>
      <xdr:row>20</xdr:row>
      <xdr:rowOff>58269</xdr:rowOff>
    </xdr:to>
    <xdr:sp macro="" textlink="">
      <xdr:nvSpPr>
        <xdr:cNvPr id="74" name="Rectangle 73">
          <a:extLst>
            <a:ext uri="{FF2B5EF4-FFF2-40B4-BE49-F238E27FC236}">
              <a16:creationId xmlns:a16="http://schemas.microsoft.com/office/drawing/2014/main" id="{2B9EDF0E-1C96-4586-8F4E-A0F580267179}"/>
            </a:ext>
          </a:extLst>
        </xdr:cNvPr>
        <xdr:cNvSpPr/>
      </xdr:nvSpPr>
      <xdr:spPr>
        <a:xfrm>
          <a:off x="11031071" y="3388657"/>
          <a:ext cx="1075765" cy="345141"/>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r>
            <a:rPr lang="en-IN" sz="700"/>
            <a:t>Reorder Stock</a:t>
          </a:r>
        </a:p>
      </xdr:txBody>
    </xdr:sp>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gourav jatav" refreshedDate="46012.475463773146" backgroundQuery="1" createdVersion="8" refreshedVersion="8" minRefreshableVersion="3" recordCount="0" supportSubquery="1" supportAdvancedDrill="1" xr:uid="{0676D078-A6E8-4F97-9180-2A5C0972A6DE}">
  <cacheSource type="external" connectionId="1"/>
  <cacheFields count="2">
    <cacheField name="[tbl_Products].[Category].[Category]" caption="Category" numFmtId="0" hierarchy="13" level="1">
      <sharedItems count="7">
        <s v="Bakery"/>
        <s v="Beverages"/>
        <s v="Dairy"/>
        <s v="Fruits"/>
        <s v="Grains"/>
        <s v="Oils"/>
        <s v="Seafood"/>
      </sharedItems>
    </cacheField>
    <cacheField name="[Measures].[Sum of Reorder_flag]" caption="Sum of Reorder_flag" numFmtId="0" hierarchy="38" level="32767"/>
  </cacheFields>
  <cacheHierarchies count="56">
    <cacheHierarchy uniqueName="[tbl_Demand_Analysis].[Product_ID]" caption="Product_ID" attribute="1" defaultMemberUniqueName="[tbl_Demand_Analysis].[Product_ID].[All]" allUniqueName="[tbl_Demand_Analysis].[Product_ID].[All]" dimensionUniqueName="[tbl_Demand_Analysis]" displayFolder="" count="0" memberValueDatatype="130" unbalanced="0"/>
    <cacheHierarchy uniqueName="[tbl_Demand_Analysis].[Avg_Daily_Demand]" caption="Avg_Daily_Demand" attribute="1" defaultMemberUniqueName="[tbl_Demand_Analysis].[Avg_Daily_Demand].[All]" allUniqueName="[tbl_Demand_Analysis].[Avg_Daily_Demand].[All]" dimensionUniqueName="[tbl_Demand_Analysis]" displayFolder="" count="0" memberValueDatatype="5" unbalanced="0"/>
    <cacheHierarchy uniqueName="[tbl_Demand_Analysis].[Monthly_Demand]" caption="Monthly_Demand" attribute="1" defaultMemberUniqueName="[tbl_Demand_Analysis].[Monthly_Demand].[All]" allUniqueName="[tbl_Demand_Analysis].[Monthly_Demand].[All]" dimensionUniqueName="[tbl_Demand_Analysis]" displayFolder="" count="0" memberValueDatatype="5" unbalanced="0"/>
    <cacheHierarchy uniqueName="[tbl_Demand_Analysis].[Max_Daily_Demand]" caption="Max_Daily_Demand" attribute="1" defaultMemberUniqueName="[tbl_Demand_Analysis].[Max_Daily_Demand].[All]" allUniqueName="[tbl_Demand_Analysis].[Max_Daily_Demand].[All]" dimensionUniqueName="[tbl_Demand_Analysis]" displayFolder="" count="0" memberValueDatatype="20" unbalanced="0"/>
    <cacheHierarchy uniqueName="[tbl_Inventory_Status].[Product_ID]" caption="Product_ID" attribute="1" defaultMemberUniqueName="[tbl_Inventory_Status].[Product_ID].[All]" allUniqueName="[tbl_Inventory_Status].[Product_ID].[All]" dimensionUniqueName="[tbl_Inventory_Status]" displayFolder="" count="0" memberValueDatatype="130" unbalanced="0"/>
    <cacheHierarchy uniqueName="[tbl_Inventory_Status].[Product_Name]" caption="Product_Name" attribute="1" defaultMemberUniqueName="[tbl_Inventory_Status].[Product_Name].[All]" allUniqueName="[tbl_Inventory_Status].[Product_Name].[All]" dimensionUniqueName="[tbl_Inventory_Status]" displayFolder="" count="0" memberValueDatatype="130" unbalanced="0"/>
    <cacheHierarchy uniqueName="[tbl_Inventory_Status].[Category]" caption="Category" attribute="1" defaultMemberUniqueName="[tbl_Inventory_Status].[Category].[All]" allUniqueName="[tbl_Inventory_Status].[Category].[All]" dimensionUniqueName="[tbl_Inventory_Status]" displayFolder="" count="0" memberValueDatatype="130" unbalanced="0"/>
    <cacheHierarchy uniqueName="[tbl_Inventory_Status].[Current_Stock]" caption="Current_Stock" attribute="1" defaultMemberUniqueName="[tbl_Inventory_Status].[Current_Stock].[All]" allUniqueName="[tbl_Inventory_Status].[Current_Stock].[All]" dimensionUniqueName="[tbl_Inventory_Status]" displayFolder="" count="0" memberValueDatatype="20" unbalanced="0"/>
    <cacheHierarchy uniqueName="[tbl_Inventory_Status].[Unit_Cost]" caption="Unit_Cost" attribute="1" defaultMemberUniqueName="[tbl_Inventory_Status].[Unit_Cost].[All]" allUniqueName="[tbl_Inventory_Status].[Unit_Cost].[All]" dimensionUniqueName="[tbl_Inventory_Status]" displayFolder="" count="0" memberValueDatatype="5" unbalanced="0"/>
    <cacheHierarchy uniqueName="[tbl_Inventory_Status].[Inventory_Value]" caption="Inventory_Value" attribute="1" defaultMemberUniqueName="[tbl_Inventory_Status].[Inventory_Value].[All]" allUniqueName="[tbl_Inventory_Status].[Inventory_Value].[All]" dimensionUniqueName="[tbl_Inventory_Status]" displayFolder="" count="0" memberValueDatatype="5" unbalanced="0"/>
    <cacheHierarchy uniqueName="[tbl_Inventory_Status].[Stock_Status]" caption="Stock_Status" attribute="1" defaultMemberUniqueName="[tbl_Inventory_Status].[Stock_Status].[All]" allUniqueName="[tbl_Inventory_Status].[Stock_Status].[All]" dimensionUniqueName="[tbl_Inventory_Status]" displayFolder="" count="0" memberValueDatatype="130" unbalanced="0"/>
    <cacheHierarchy uniqueName="[tbl_Products].[Product_ID]" caption="Product_ID" attribute="1" defaultMemberUniqueName="[tbl_Products].[Product_ID].[All]" allUniqueName="[tbl_Products].[Product_ID].[All]" dimensionUniqueName="[tbl_Products]" displayFolder="" count="0" memberValueDatatype="130" unbalanced="0"/>
    <cacheHierarchy uniqueName="[tbl_Products].[Product_Name_]" caption="Product_Name_" attribute="1" defaultMemberUniqueName="[tbl_Products].[Product_Name_].[All]" allUniqueName="[tbl_Products].[Product_Name_].[All]" dimensionUniqueName="[tbl_Products]" displayFolder="" count="0" memberValueDatatype="130" unbalanced="0"/>
    <cacheHierarchy uniqueName="[tbl_Products].[Category]" caption="Category" attribute="1" defaultMemberUniqueName="[tbl_Products].[Category].[All]" allUniqueName="[tbl_Products].[Category].[All]" dimensionUniqueName="[tbl_Products]" displayFolder="" count="2" memberValueDatatype="130" unbalanced="0">
      <fieldsUsage count="2">
        <fieldUsage x="-1"/>
        <fieldUsage x="0"/>
      </fieldsUsage>
    </cacheHierarchy>
    <cacheHierarchy uniqueName="[tbl_Products].[Supplier_Name]" caption="Supplier_Name" attribute="1" defaultMemberUniqueName="[tbl_Products].[Supplier_Name].[All]" allUniqueName="[tbl_Products].[Supplier_Name].[All]" dimensionUniqueName="[tbl_Products]" displayFolder="" count="0" memberValueDatatype="130" unbalanced="0"/>
    <cacheHierarchy uniqueName="[tbl_Products].[Unit_Cost]" caption="Unit_Cost" attribute="1" defaultMemberUniqueName="[tbl_Products].[Unit_Cost].[All]" allUniqueName="[tbl_Products].[Unit_Cost].[All]" dimensionUniqueName="[tbl_Products]" displayFolder="" count="0" memberValueDatatype="5" unbalanced="0"/>
    <cacheHierarchy uniqueName="[tbl_Products].[Lead_Time_(Days)]" caption="Lead_Time_(Days)" attribute="1" defaultMemberUniqueName="[tbl_Products].[Lead_Time_(Days)].[All]" allUniqueName="[tbl_Products].[Lead_Time_(Days)].[All]" dimensionUniqueName="[tbl_Products]" displayFolder="" count="0" memberValueDatatype="20" unbalanced="0"/>
    <cacheHierarchy uniqueName="[tbl_Products].[Minimum_Order_Quantity(MOQ)]" caption="Minimum_Order_Quantity(MOQ)" attribute="1" defaultMemberUniqueName="[tbl_Products].[Minimum_Order_Quantity(MOQ)].[All]" allUniqueName="[tbl_Products].[Minimum_Order_Quantity(MOQ)].[All]" dimensionUniqueName="[tbl_Products]" displayFolder="" count="0" memberValueDatatype="20" unbalanced="0"/>
    <cacheHierarchy uniqueName="[tbl_Products].[Holding_Cost_per_Unit(Monthly)]" caption="Holding_Cost_per_Unit(Monthly)" attribute="1" defaultMemberUniqueName="[tbl_Products].[Holding_Cost_per_Unit(Monthly)].[All]" allUniqueName="[tbl_Products].[Holding_Cost_per_Unit(Monthly)].[All]" dimensionUniqueName="[tbl_Products]" displayFolder="" count="0" memberValueDatatype="5" unbalanced="0"/>
    <cacheHierarchy uniqueName="[tbl_Products].[Order_Cost_per_Unit]" caption="Order_Cost_per_Unit" attribute="1" defaultMemberUniqueName="[tbl_Products].[Order_Cost_per_Unit].[All]" allUniqueName="[tbl_Products].[Order_Cost_per_Unit].[All]" dimensionUniqueName="[tbl_Products]" displayFolder="" count="0" memberValueDatatype="20" unbalanced="0"/>
    <cacheHierarchy uniqueName="[tbl_Reorder_Optimization].[Product_ID]" caption="Product_ID" attribute="1" defaultMemberUniqueName="[tbl_Reorder_Optimization].[Product_ID].[All]" allUniqueName="[tbl_Reorder_Optimization].[Product_ID].[All]" dimensionUniqueName="[tbl_Reorder_Optimization]" displayFolder="" count="0" memberValueDatatype="130" unbalanced="0"/>
    <cacheHierarchy uniqueName="[tbl_Reorder_Optimization].[Avg_Daily_Demand]" caption="Avg_Daily_Demand" attribute="1" defaultMemberUniqueName="[tbl_Reorder_Optimization].[Avg_Daily_Demand].[All]" allUniqueName="[tbl_Reorder_Optimization].[Avg_Daily_Demand].[All]" dimensionUniqueName="[tbl_Reorder_Optimization]" displayFolder="" count="0" memberValueDatatype="5" unbalanced="0"/>
    <cacheHierarchy uniqueName="[tbl_Reorder_Optimization].[Lead_Time]" caption="Lead_Time" attribute="1" defaultMemberUniqueName="[tbl_Reorder_Optimization].[Lead_Time].[All]" allUniqueName="[tbl_Reorder_Optimization].[Lead_Time].[All]" dimensionUniqueName="[tbl_Reorder_Optimization]" displayFolder="" count="0" memberValueDatatype="20" unbalanced="0"/>
    <cacheHierarchy uniqueName="[tbl_Reorder_Optimization].[Safety_Stock]" caption="Safety_Stock" attribute="1" defaultMemberUniqueName="[tbl_Reorder_Optimization].[Safety_Stock].[All]" allUniqueName="[tbl_Reorder_Optimization].[Safety_Stock].[All]" dimensionUniqueName="[tbl_Reorder_Optimization]" displayFolder="" count="0" memberValueDatatype="5" unbalanced="0"/>
    <cacheHierarchy uniqueName="[tbl_Reorder_Optimization].[Reorder_Point]" caption="Reorder_Point" attribute="1" defaultMemberUniqueName="[tbl_Reorder_Optimization].[Reorder_Point].[All]" allUniqueName="[tbl_Reorder_Optimization].[Reorder_Point].[All]" dimensionUniqueName="[tbl_Reorder_Optimization]" displayFolder="" count="0" memberValueDatatype="20" unbalanced="0"/>
    <cacheHierarchy uniqueName="[tbl_Reorder_Optimization].[Current_Stock]" caption="Current_Stock" attribute="1" defaultMemberUniqueName="[tbl_Reorder_Optimization].[Current_Stock].[All]" allUniqueName="[tbl_Reorder_Optimization].[Current_Stock].[All]" dimensionUniqueName="[tbl_Reorder_Optimization]" displayFolder="" count="0" memberValueDatatype="20" unbalanced="0"/>
    <cacheHierarchy uniqueName="[tbl_Reorder_Optimization].[EOQ]" caption="EOQ" attribute="1" defaultMemberUniqueName="[tbl_Reorder_Optimization].[EOQ].[All]" allUniqueName="[tbl_Reorder_Optimization].[EOQ].[All]" dimensionUniqueName="[tbl_Reorder_Optimization]" displayFolder="" count="0" memberValueDatatype="5" unbalanced="0"/>
    <cacheHierarchy uniqueName="[tbl_Reorder_Optimization].[Action]" caption="Action" attribute="1" defaultMemberUniqueName="[tbl_Reorder_Optimization].[Action].[All]" allUniqueName="[tbl_Reorder_Optimization].[Action].[All]" dimensionUniqueName="[tbl_Reorder_Optimization]" displayFolder="" count="0" memberValueDatatype="130" unbalanced="0"/>
    <cacheHierarchy uniqueName="[tbl_Reorder_Optimization].[Reorder_flag]" caption="Reorder_flag" attribute="1" defaultMemberUniqueName="[tbl_Reorder_Optimization].[Reorder_flag].[All]" allUniqueName="[tbl_Reorder_Optimization].[Reorder_flag].[All]" dimensionUniqueName="[tbl_Reorder_Optimization]" displayFolder="" count="0" memberValueDatatype="20" unbalanced="0"/>
    <cacheHierarchy uniqueName="[tbl_Transactions].[Transaction_ID]" caption="Transaction_ID" attribute="1" defaultMemberUniqueName="[tbl_Transactions].[Transaction_ID].[All]" allUniqueName="[tbl_Transactions].[Transaction_ID].[All]" dimensionUniqueName="[tbl_Transactions]" displayFolder="" count="0" memberValueDatatype="130" unbalanced="0"/>
    <cacheHierarchy uniqueName="[tbl_Transactions].[Transaction Date]" caption="Transaction Date" attribute="1" time="1" defaultMemberUniqueName="[tbl_Transactions].[Transaction Date].[All]" allUniqueName="[tbl_Transactions].[Transaction Date].[All]" dimensionUniqueName="[tbl_Transactions]" displayFolder="" count="0" memberValueDatatype="7" unbalanced="0"/>
    <cacheHierarchy uniqueName="[tbl_Transactions].[Product ID]" caption="Product ID" attribute="1" defaultMemberUniqueName="[tbl_Transactions].[Product ID].[All]" allUniqueName="[tbl_Transactions].[Product ID].[All]" dimensionUniqueName="[tbl_Transactions]" displayFolder="" count="0" memberValueDatatype="130" unbalanced="0"/>
    <cacheHierarchy uniqueName="[tbl_Transactions].[Transaction Type]" caption="Transaction Type" attribute="1" defaultMemberUniqueName="[tbl_Transactions].[Transaction Type].[All]" allUniqueName="[tbl_Transactions].[Transaction Type].[All]" dimensionUniqueName="[tbl_Transactions]" displayFolder="" count="0" memberValueDatatype="130" unbalanced="0"/>
    <cacheHierarchy uniqueName="[tbl_Transactions].[Quantity]" caption="Quantity" attribute="1" defaultMemberUniqueName="[tbl_Transactions].[Quantity].[All]" allUniqueName="[tbl_Transactions].[Quantity].[All]" dimensionUniqueName="[tbl_Transactions]" displayFolder="" count="0" memberValueDatatype="20" unbalanced="0"/>
    <cacheHierarchy uniqueName="[tbl_Transactions].[Location]" caption="Location" attribute="1" defaultMemberUniqueName="[tbl_Transactions].[Location].[All]" allUniqueName="[tbl_Transactions].[Location].[All]" dimensionUniqueName="[tbl_Transactions]" displayFolder="" count="0" memberValueDatatype="130" unbalanced="0"/>
    <cacheHierarchy uniqueName="[Measures].[Sum of Inventory_Value]" caption="Sum of Inventory_Value" measure="1" displayFolder="" measureGroup="tbl_Inventory_Status" count="0">
      <extLst>
        <ext xmlns:x15="http://schemas.microsoft.com/office/spreadsheetml/2010/11/main" uri="{B97F6D7D-B522-45F9-BDA1-12C45D357490}">
          <x15:cacheHierarchy aggregatedColumn="9"/>
        </ext>
      </extLst>
    </cacheHierarchy>
    <cacheHierarchy uniqueName="[Measures].[Sum of Avg_Daily_Demand]" caption="Sum of Avg_Daily_Demand" measure="1" displayFolder="" measureGroup="tbl_Demand_Analysis" count="0">
      <extLst>
        <ext xmlns:x15="http://schemas.microsoft.com/office/spreadsheetml/2010/11/main" uri="{B97F6D7D-B522-45F9-BDA1-12C45D357490}">
          <x15:cacheHierarchy aggregatedColumn="1"/>
        </ext>
      </extLst>
    </cacheHierarchy>
    <cacheHierarchy uniqueName="[Measures].[Sum of Unit_Cost]" caption="Sum of Unit_Cost" measure="1" displayFolder="" measureGroup="tbl_Inventory_Status" count="0">
      <extLst>
        <ext xmlns:x15="http://schemas.microsoft.com/office/spreadsheetml/2010/11/main" uri="{B97F6D7D-B522-45F9-BDA1-12C45D357490}">
          <x15:cacheHierarchy aggregatedColumn="8"/>
        </ext>
      </extLst>
    </cacheHierarchy>
    <cacheHierarchy uniqueName="[Measures].[Sum of Reorder_flag]" caption="Sum of Reorder_flag" measure="1" displayFolder="" measureGroup="tbl_Reorder_Optimization" count="0" oneField="1">
      <fieldsUsage count="1">
        <fieldUsage x="1"/>
      </fieldsUsage>
      <extLst>
        <ext xmlns:x15="http://schemas.microsoft.com/office/spreadsheetml/2010/11/main" uri="{B97F6D7D-B522-45F9-BDA1-12C45D357490}">
          <x15:cacheHierarchy aggregatedColumn="28"/>
        </ext>
      </extLst>
    </cacheHierarchy>
    <cacheHierarchy uniqueName="[Measures].[Count of Avg_Daily_Demand]" caption="Count of Avg_Daily_Demand" measure="1" displayFolder="" measureGroup="tbl_Demand_Analysis" count="0">
      <extLst>
        <ext xmlns:x15="http://schemas.microsoft.com/office/spreadsheetml/2010/11/main" uri="{B97F6D7D-B522-45F9-BDA1-12C45D357490}">
          <x15:cacheHierarchy aggregatedColumn="1"/>
        </ext>
      </extLst>
    </cacheHierarchy>
    <cacheHierarchy uniqueName="[Measures].[Sum of Current_Stock]" caption="Sum of Current_Stock" measure="1" displayFolder="" measureGroup="tbl_Reorder_Optimization" count="0">
      <extLst>
        <ext xmlns:x15="http://schemas.microsoft.com/office/spreadsheetml/2010/11/main" uri="{B97F6D7D-B522-45F9-BDA1-12C45D357490}">
          <x15:cacheHierarchy aggregatedColumn="25"/>
        </ext>
      </extLst>
    </cacheHierarchy>
    <cacheHierarchy uniqueName="[Measures].[Sum of Reorder_Point]" caption="Sum of Reorder_Point" measure="1" displayFolder="" measureGroup="tbl_Reorder_Optimization" count="0">
      <extLst>
        <ext xmlns:x15="http://schemas.microsoft.com/office/spreadsheetml/2010/11/main" uri="{B97F6D7D-B522-45F9-BDA1-12C45D357490}">
          <x15:cacheHierarchy aggregatedColumn="24"/>
        </ext>
      </extLst>
    </cacheHierarchy>
    <cacheHierarchy uniqueName="[Measures].[Sum of Avg_Daily_Demand 2]" caption="Sum of Avg_Daily_Demand 2" measure="1" displayFolder="" measureGroup="tbl_Reorder_Optimization" count="0">
      <extLst>
        <ext xmlns:x15="http://schemas.microsoft.com/office/spreadsheetml/2010/11/main" uri="{B97F6D7D-B522-45F9-BDA1-12C45D357490}">
          <x15:cacheHierarchy aggregatedColumn="21"/>
        </ext>
      </extLst>
    </cacheHierarchy>
    <cacheHierarchy uniqueName="[Measures].[Sum of Unit_Cost 2]" caption="Sum of Unit_Cost 2" measure="1" displayFolder="" measureGroup="tbl_Products" count="0">
      <extLst>
        <ext xmlns:x15="http://schemas.microsoft.com/office/spreadsheetml/2010/11/main" uri="{B97F6D7D-B522-45F9-BDA1-12C45D357490}">
          <x15:cacheHierarchy aggregatedColumn="15"/>
        </ext>
      </extLst>
    </cacheHierarchy>
    <cacheHierarchy uniqueName="[Measures].[Average of Avg_Daily_Demand]" caption="Average of Avg_Daily_Demand" measure="1" displayFolder="" measureGroup="tbl_Reorder_Optimization" count="0">
      <extLst>
        <ext xmlns:x15="http://schemas.microsoft.com/office/spreadsheetml/2010/11/main" uri="{B97F6D7D-B522-45F9-BDA1-12C45D357490}">
          <x15:cacheHierarchy aggregatedColumn="21"/>
        </ext>
      </extLst>
    </cacheHierarchy>
    <cacheHierarchy uniqueName="[Measures].[Average of Unit_Cost]" caption="Average of Unit_Cost" measure="1" displayFolder="" measureGroup="tbl_Products" count="0">
      <extLst>
        <ext xmlns:x15="http://schemas.microsoft.com/office/spreadsheetml/2010/11/main" uri="{B97F6D7D-B522-45F9-BDA1-12C45D357490}">
          <x15:cacheHierarchy aggregatedColumn="15"/>
        </ext>
      </extLst>
    </cacheHierarchy>
    <cacheHierarchy uniqueName="[Measures].[Count of Action]" caption="Count of Action" measure="1" displayFolder="" measureGroup="tbl_Reorder_Optimization" count="0">
      <extLst>
        <ext xmlns:x15="http://schemas.microsoft.com/office/spreadsheetml/2010/11/main" uri="{B97F6D7D-B522-45F9-BDA1-12C45D357490}">
          <x15:cacheHierarchy aggregatedColumn="27"/>
        </ext>
      </extLst>
    </cacheHierarchy>
    <cacheHierarchy uniqueName="[Measures].[Count of Reorder_flag]" caption="Count of Reorder_flag" measure="1" displayFolder="" measureGroup="tbl_Reorder_Optimization" count="0">
      <extLst>
        <ext xmlns:x15="http://schemas.microsoft.com/office/spreadsheetml/2010/11/main" uri="{B97F6D7D-B522-45F9-BDA1-12C45D357490}">
          <x15:cacheHierarchy aggregatedColumn="28"/>
        </ext>
      </extLst>
    </cacheHierarchy>
    <cacheHierarchy uniqueName="[Measures].[Average of Unit_Cost 2]" caption="Average of Unit_Cost 2" measure="1" displayFolder="" measureGroup="tbl_Inventory_Status" count="0">
      <extLst>
        <ext xmlns:x15="http://schemas.microsoft.com/office/spreadsheetml/2010/11/main" uri="{B97F6D7D-B522-45F9-BDA1-12C45D357490}">
          <x15:cacheHierarchy aggregatedColumn="8"/>
        </ext>
      </extLst>
    </cacheHierarchy>
    <cacheHierarchy uniqueName="[Measures].[Inventory Gap measure]" caption="Inventory Gap measure" measure="1" displayFolder="" measureGroup="tbl_Products" count="0"/>
    <cacheHierarchy uniqueName="[Measures].[__XL_Count tbl_Products]" caption="__XL_Count tbl_Products" measure="1" displayFolder="" measureGroup="tbl_Products" count="0" hidden="1"/>
    <cacheHierarchy uniqueName="[Measures].[__XL_Count tbl_Transactions]" caption="__XL_Count tbl_Transactions" measure="1" displayFolder="" measureGroup="tbl_Transactions" count="0" hidden="1"/>
    <cacheHierarchy uniqueName="[Measures].[__XL_Count tbl_Inventory_Status]" caption="__XL_Count tbl_Inventory_Status" measure="1" displayFolder="" measureGroup="tbl_Inventory_Status" count="0" hidden="1"/>
    <cacheHierarchy uniqueName="[Measures].[__XL_Count tbl_Demand_Analysis]" caption="__XL_Count tbl_Demand_Analysis" measure="1" displayFolder="" measureGroup="tbl_Demand_Analysis" count="0" hidden="1"/>
    <cacheHierarchy uniqueName="[Measures].[__XL_Count tbl_Reorder_Optimization]" caption="__XL_Count tbl_Reorder_Optimization" measure="1" displayFolder="" measureGroup="tbl_Reorder_Optimization" count="0" hidden="1"/>
    <cacheHierarchy uniqueName="[Measures].[__No measures defined]" caption="__No measures defined" measure="1" displayFolder="" count="0" hidden="1"/>
  </cacheHierarchies>
  <kpis count="0"/>
  <dimensions count="6">
    <dimension measure="1" name="Measures" uniqueName="[Measures]" caption="Measures"/>
    <dimension name="tbl_Demand_Analysis" uniqueName="[tbl_Demand_Analysis]" caption="tbl_Demand_Analysis"/>
    <dimension name="tbl_Inventory_Status" uniqueName="[tbl_Inventory_Status]" caption="tbl_Inventory_Status"/>
    <dimension name="tbl_Products" uniqueName="[tbl_Products]" caption="tbl_Products"/>
    <dimension name="tbl_Reorder_Optimization" uniqueName="[tbl_Reorder_Optimization]" caption="tbl_Reorder_Optimization"/>
    <dimension name="tbl_Transactions" uniqueName="[tbl_Transactions]" caption="tbl_Transactions"/>
  </dimensions>
  <measureGroups count="5">
    <measureGroup name="tbl_Demand_Analysis" caption="tbl_Demand_Analysis"/>
    <measureGroup name="tbl_Inventory_Status" caption="tbl_Inventory_Status"/>
    <measureGroup name="tbl_Products" caption="tbl_Products"/>
    <measureGroup name="tbl_Reorder_Optimization" caption="tbl_Reorder_Optimization"/>
    <measureGroup name="tbl_Transactions" caption="tbl_Transactions"/>
  </measureGroups>
  <maps count="8">
    <map measureGroup="0" dimension="1"/>
    <map measureGroup="0" dimension="3"/>
    <map measureGroup="1" dimension="2"/>
    <map measureGroup="1" dimension="3"/>
    <map measureGroup="2" dimension="3"/>
    <map measureGroup="3" dimension="3"/>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gourav jatav" refreshedDate="46012.475465277777" backgroundQuery="1" createdVersion="8" refreshedVersion="8" minRefreshableVersion="3" recordCount="0" supportSubquery="1" supportAdvancedDrill="1" xr:uid="{8919A291-B47F-436D-98AF-FF45806538F0}">
  <cacheSource type="external" connectionId="1"/>
  <cacheFields count="2">
    <cacheField name="[Measures].[Inventory Gap measure]" caption="Inventory Gap measure" numFmtId="0" hierarchy="49" level="32767"/>
    <cacheField name="[tbl_Products].[Category].[Category]" caption="Category" numFmtId="0" hierarchy="13" level="1">
      <sharedItems containsSemiMixedTypes="0" containsNonDate="0" containsString="0"/>
    </cacheField>
  </cacheFields>
  <cacheHierarchies count="56">
    <cacheHierarchy uniqueName="[tbl_Demand_Analysis].[Product_ID]" caption="Product_ID" attribute="1" defaultMemberUniqueName="[tbl_Demand_Analysis].[Product_ID].[All]" allUniqueName="[tbl_Demand_Analysis].[Product_ID].[All]" dimensionUniqueName="[tbl_Demand_Analysis]" displayFolder="" count="0" memberValueDatatype="130" unbalanced="0"/>
    <cacheHierarchy uniqueName="[tbl_Demand_Analysis].[Avg_Daily_Demand]" caption="Avg_Daily_Demand" attribute="1" defaultMemberUniqueName="[tbl_Demand_Analysis].[Avg_Daily_Demand].[All]" allUniqueName="[tbl_Demand_Analysis].[Avg_Daily_Demand].[All]" dimensionUniqueName="[tbl_Demand_Analysis]" displayFolder="" count="0" memberValueDatatype="5" unbalanced="0"/>
    <cacheHierarchy uniqueName="[tbl_Demand_Analysis].[Monthly_Demand]" caption="Monthly_Demand" attribute="1" defaultMemberUniqueName="[tbl_Demand_Analysis].[Monthly_Demand].[All]" allUniqueName="[tbl_Demand_Analysis].[Monthly_Demand].[All]" dimensionUniqueName="[tbl_Demand_Analysis]" displayFolder="" count="0" memberValueDatatype="5" unbalanced="0"/>
    <cacheHierarchy uniqueName="[tbl_Demand_Analysis].[Max_Daily_Demand]" caption="Max_Daily_Demand" attribute="1" defaultMemberUniqueName="[tbl_Demand_Analysis].[Max_Daily_Demand].[All]" allUniqueName="[tbl_Demand_Analysis].[Max_Daily_Demand].[All]" dimensionUniqueName="[tbl_Demand_Analysis]" displayFolder="" count="0" memberValueDatatype="20" unbalanced="0"/>
    <cacheHierarchy uniqueName="[tbl_Inventory_Status].[Product_ID]" caption="Product_ID" attribute="1" defaultMemberUniqueName="[tbl_Inventory_Status].[Product_ID].[All]" allUniqueName="[tbl_Inventory_Status].[Product_ID].[All]" dimensionUniqueName="[tbl_Inventory_Status]" displayFolder="" count="0" memberValueDatatype="130" unbalanced="0"/>
    <cacheHierarchy uniqueName="[tbl_Inventory_Status].[Product_Name]" caption="Product_Name" attribute="1" defaultMemberUniqueName="[tbl_Inventory_Status].[Product_Name].[All]" allUniqueName="[tbl_Inventory_Status].[Product_Name].[All]" dimensionUniqueName="[tbl_Inventory_Status]" displayFolder="" count="0" memberValueDatatype="130" unbalanced="0"/>
    <cacheHierarchy uniqueName="[tbl_Inventory_Status].[Category]" caption="Category" attribute="1" defaultMemberUniqueName="[tbl_Inventory_Status].[Category].[All]" allUniqueName="[tbl_Inventory_Status].[Category].[All]" dimensionUniqueName="[tbl_Inventory_Status]" displayFolder="" count="0" memberValueDatatype="130" unbalanced="0"/>
    <cacheHierarchy uniqueName="[tbl_Inventory_Status].[Current_Stock]" caption="Current_Stock" attribute="1" defaultMemberUniqueName="[tbl_Inventory_Status].[Current_Stock].[All]" allUniqueName="[tbl_Inventory_Status].[Current_Stock].[All]" dimensionUniqueName="[tbl_Inventory_Status]" displayFolder="" count="0" memberValueDatatype="20" unbalanced="0"/>
    <cacheHierarchy uniqueName="[tbl_Inventory_Status].[Unit_Cost]" caption="Unit_Cost" attribute="1" defaultMemberUniqueName="[tbl_Inventory_Status].[Unit_Cost].[All]" allUniqueName="[tbl_Inventory_Status].[Unit_Cost].[All]" dimensionUniqueName="[tbl_Inventory_Status]" displayFolder="" count="0" memberValueDatatype="5" unbalanced="0"/>
    <cacheHierarchy uniqueName="[tbl_Inventory_Status].[Inventory_Value]" caption="Inventory_Value" attribute="1" defaultMemberUniqueName="[tbl_Inventory_Status].[Inventory_Value].[All]" allUniqueName="[tbl_Inventory_Status].[Inventory_Value].[All]" dimensionUniqueName="[tbl_Inventory_Status]" displayFolder="" count="0" memberValueDatatype="5" unbalanced="0"/>
    <cacheHierarchy uniqueName="[tbl_Inventory_Status].[Stock_Status]" caption="Stock_Status" attribute="1" defaultMemberUniqueName="[tbl_Inventory_Status].[Stock_Status].[All]" allUniqueName="[tbl_Inventory_Status].[Stock_Status].[All]" dimensionUniqueName="[tbl_Inventory_Status]" displayFolder="" count="0" memberValueDatatype="130" unbalanced="0"/>
    <cacheHierarchy uniqueName="[tbl_Products].[Product_ID]" caption="Product_ID" attribute="1" defaultMemberUniqueName="[tbl_Products].[Product_ID].[All]" allUniqueName="[tbl_Products].[Product_ID].[All]" dimensionUniqueName="[tbl_Products]" displayFolder="" count="0" memberValueDatatype="130" unbalanced="0"/>
    <cacheHierarchy uniqueName="[tbl_Products].[Product_Name_]" caption="Product_Name_" attribute="1" defaultMemberUniqueName="[tbl_Products].[Product_Name_].[All]" allUniqueName="[tbl_Products].[Product_Name_].[All]" dimensionUniqueName="[tbl_Products]" displayFolder="" count="0" memberValueDatatype="130" unbalanced="0"/>
    <cacheHierarchy uniqueName="[tbl_Products].[Category]" caption="Category" attribute="1" defaultMemberUniqueName="[tbl_Products].[Category].[All]" allUniqueName="[tbl_Products].[Category].[All]" dimensionUniqueName="[tbl_Products]" displayFolder="" count="2" memberValueDatatype="130" unbalanced="0">
      <fieldsUsage count="2">
        <fieldUsage x="-1"/>
        <fieldUsage x="1"/>
      </fieldsUsage>
    </cacheHierarchy>
    <cacheHierarchy uniqueName="[tbl_Products].[Supplier_Name]" caption="Supplier_Name" attribute="1" defaultMemberUniqueName="[tbl_Products].[Supplier_Name].[All]" allUniqueName="[tbl_Products].[Supplier_Name].[All]" dimensionUniqueName="[tbl_Products]" displayFolder="" count="0" memberValueDatatype="130" unbalanced="0"/>
    <cacheHierarchy uniqueName="[tbl_Products].[Unit_Cost]" caption="Unit_Cost" attribute="1" defaultMemberUniqueName="[tbl_Products].[Unit_Cost].[All]" allUniqueName="[tbl_Products].[Unit_Cost].[All]" dimensionUniqueName="[tbl_Products]" displayFolder="" count="0" memberValueDatatype="5" unbalanced="0"/>
    <cacheHierarchy uniqueName="[tbl_Products].[Lead_Time_(Days)]" caption="Lead_Time_(Days)" attribute="1" defaultMemberUniqueName="[tbl_Products].[Lead_Time_(Days)].[All]" allUniqueName="[tbl_Products].[Lead_Time_(Days)].[All]" dimensionUniqueName="[tbl_Products]" displayFolder="" count="0" memberValueDatatype="20" unbalanced="0"/>
    <cacheHierarchy uniqueName="[tbl_Products].[Minimum_Order_Quantity(MOQ)]" caption="Minimum_Order_Quantity(MOQ)" attribute="1" defaultMemberUniqueName="[tbl_Products].[Minimum_Order_Quantity(MOQ)].[All]" allUniqueName="[tbl_Products].[Minimum_Order_Quantity(MOQ)].[All]" dimensionUniqueName="[tbl_Products]" displayFolder="" count="0" memberValueDatatype="20" unbalanced="0"/>
    <cacheHierarchy uniqueName="[tbl_Products].[Holding_Cost_per_Unit(Monthly)]" caption="Holding_Cost_per_Unit(Monthly)" attribute="1" defaultMemberUniqueName="[tbl_Products].[Holding_Cost_per_Unit(Monthly)].[All]" allUniqueName="[tbl_Products].[Holding_Cost_per_Unit(Monthly)].[All]" dimensionUniqueName="[tbl_Products]" displayFolder="" count="0" memberValueDatatype="5" unbalanced="0"/>
    <cacheHierarchy uniqueName="[tbl_Products].[Order_Cost_per_Unit]" caption="Order_Cost_per_Unit" attribute="1" defaultMemberUniqueName="[tbl_Products].[Order_Cost_per_Unit].[All]" allUniqueName="[tbl_Products].[Order_Cost_per_Unit].[All]" dimensionUniqueName="[tbl_Products]" displayFolder="" count="0" memberValueDatatype="20" unbalanced="0"/>
    <cacheHierarchy uniqueName="[tbl_Reorder_Optimization].[Product_ID]" caption="Product_ID" attribute="1" defaultMemberUniqueName="[tbl_Reorder_Optimization].[Product_ID].[All]" allUniqueName="[tbl_Reorder_Optimization].[Product_ID].[All]" dimensionUniqueName="[tbl_Reorder_Optimization]" displayFolder="" count="0" memberValueDatatype="130" unbalanced="0"/>
    <cacheHierarchy uniqueName="[tbl_Reorder_Optimization].[Avg_Daily_Demand]" caption="Avg_Daily_Demand" attribute="1" defaultMemberUniqueName="[tbl_Reorder_Optimization].[Avg_Daily_Demand].[All]" allUniqueName="[tbl_Reorder_Optimization].[Avg_Daily_Demand].[All]" dimensionUniqueName="[tbl_Reorder_Optimization]" displayFolder="" count="0" memberValueDatatype="5" unbalanced="0"/>
    <cacheHierarchy uniqueName="[tbl_Reorder_Optimization].[Lead_Time]" caption="Lead_Time" attribute="1" defaultMemberUniqueName="[tbl_Reorder_Optimization].[Lead_Time].[All]" allUniqueName="[tbl_Reorder_Optimization].[Lead_Time].[All]" dimensionUniqueName="[tbl_Reorder_Optimization]" displayFolder="" count="0" memberValueDatatype="20" unbalanced="0"/>
    <cacheHierarchy uniqueName="[tbl_Reorder_Optimization].[Safety_Stock]" caption="Safety_Stock" attribute="1" defaultMemberUniqueName="[tbl_Reorder_Optimization].[Safety_Stock].[All]" allUniqueName="[tbl_Reorder_Optimization].[Safety_Stock].[All]" dimensionUniqueName="[tbl_Reorder_Optimization]" displayFolder="" count="0" memberValueDatatype="5" unbalanced="0"/>
    <cacheHierarchy uniqueName="[tbl_Reorder_Optimization].[Reorder_Point]" caption="Reorder_Point" attribute="1" defaultMemberUniqueName="[tbl_Reorder_Optimization].[Reorder_Point].[All]" allUniqueName="[tbl_Reorder_Optimization].[Reorder_Point].[All]" dimensionUniqueName="[tbl_Reorder_Optimization]" displayFolder="" count="0" memberValueDatatype="20" unbalanced="0"/>
    <cacheHierarchy uniqueName="[tbl_Reorder_Optimization].[Current_Stock]" caption="Current_Stock" attribute="1" defaultMemberUniqueName="[tbl_Reorder_Optimization].[Current_Stock].[All]" allUniqueName="[tbl_Reorder_Optimization].[Current_Stock].[All]" dimensionUniqueName="[tbl_Reorder_Optimization]" displayFolder="" count="0" memberValueDatatype="20" unbalanced="0"/>
    <cacheHierarchy uniqueName="[tbl_Reorder_Optimization].[EOQ]" caption="EOQ" attribute="1" defaultMemberUniqueName="[tbl_Reorder_Optimization].[EOQ].[All]" allUniqueName="[tbl_Reorder_Optimization].[EOQ].[All]" dimensionUniqueName="[tbl_Reorder_Optimization]" displayFolder="" count="0" memberValueDatatype="5" unbalanced="0"/>
    <cacheHierarchy uniqueName="[tbl_Reorder_Optimization].[Action]" caption="Action" attribute="1" defaultMemberUniqueName="[tbl_Reorder_Optimization].[Action].[All]" allUniqueName="[tbl_Reorder_Optimization].[Action].[All]" dimensionUniqueName="[tbl_Reorder_Optimization]" displayFolder="" count="0" memberValueDatatype="130" unbalanced="0"/>
    <cacheHierarchy uniqueName="[tbl_Reorder_Optimization].[Reorder_flag]" caption="Reorder_flag" attribute="1" defaultMemberUniqueName="[tbl_Reorder_Optimization].[Reorder_flag].[All]" allUniqueName="[tbl_Reorder_Optimization].[Reorder_flag].[All]" dimensionUniqueName="[tbl_Reorder_Optimization]" displayFolder="" count="0" memberValueDatatype="20" unbalanced="0"/>
    <cacheHierarchy uniqueName="[tbl_Transactions].[Transaction_ID]" caption="Transaction_ID" attribute="1" defaultMemberUniqueName="[tbl_Transactions].[Transaction_ID].[All]" allUniqueName="[tbl_Transactions].[Transaction_ID].[All]" dimensionUniqueName="[tbl_Transactions]" displayFolder="" count="0" memberValueDatatype="130" unbalanced="0"/>
    <cacheHierarchy uniqueName="[tbl_Transactions].[Transaction Date]" caption="Transaction Date" attribute="1" time="1" defaultMemberUniqueName="[tbl_Transactions].[Transaction Date].[All]" allUniqueName="[tbl_Transactions].[Transaction Date].[All]" dimensionUniqueName="[tbl_Transactions]" displayFolder="" count="0" memberValueDatatype="7" unbalanced="0"/>
    <cacheHierarchy uniqueName="[tbl_Transactions].[Product ID]" caption="Product ID" attribute="1" defaultMemberUniqueName="[tbl_Transactions].[Product ID].[All]" allUniqueName="[tbl_Transactions].[Product ID].[All]" dimensionUniqueName="[tbl_Transactions]" displayFolder="" count="0" memberValueDatatype="130" unbalanced="0"/>
    <cacheHierarchy uniqueName="[tbl_Transactions].[Transaction Type]" caption="Transaction Type" attribute="1" defaultMemberUniqueName="[tbl_Transactions].[Transaction Type].[All]" allUniqueName="[tbl_Transactions].[Transaction Type].[All]" dimensionUniqueName="[tbl_Transactions]" displayFolder="" count="0" memberValueDatatype="130" unbalanced="0"/>
    <cacheHierarchy uniqueName="[tbl_Transactions].[Quantity]" caption="Quantity" attribute="1" defaultMemberUniqueName="[tbl_Transactions].[Quantity].[All]" allUniqueName="[tbl_Transactions].[Quantity].[All]" dimensionUniqueName="[tbl_Transactions]" displayFolder="" count="0" memberValueDatatype="20" unbalanced="0"/>
    <cacheHierarchy uniqueName="[tbl_Transactions].[Location]" caption="Location" attribute="1" defaultMemberUniqueName="[tbl_Transactions].[Location].[All]" allUniqueName="[tbl_Transactions].[Location].[All]" dimensionUniqueName="[tbl_Transactions]" displayFolder="" count="0" memberValueDatatype="130" unbalanced="0"/>
    <cacheHierarchy uniqueName="[Measures].[Sum of Inventory_Value]" caption="Sum of Inventory_Value" measure="1" displayFolder="" measureGroup="tbl_Inventory_Status" count="0">
      <extLst>
        <ext xmlns:x15="http://schemas.microsoft.com/office/spreadsheetml/2010/11/main" uri="{B97F6D7D-B522-45F9-BDA1-12C45D357490}">
          <x15:cacheHierarchy aggregatedColumn="9"/>
        </ext>
      </extLst>
    </cacheHierarchy>
    <cacheHierarchy uniqueName="[Measures].[Sum of Avg_Daily_Demand]" caption="Sum of Avg_Daily_Demand" measure="1" displayFolder="" measureGroup="tbl_Demand_Analysis" count="0">
      <extLst>
        <ext xmlns:x15="http://schemas.microsoft.com/office/spreadsheetml/2010/11/main" uri="{B97F6D7D-B522-45F9-BDA1-12C45D357490}">
          <x15:cacheHierarchy aggregatedColumn="1"/>
        </ext>
      </extLst>
    </cacheHierarchy>
    <cacheHierarchy uniqueName="[Measures].[Sum of Unit_Cost]" caption="Sum of Unit_Cost" measure="1" displayFolder="" measureGroup="tbl_Inventory_Status" count="0">
      <extLst>
        <ext xmlns:x15="http://schemas.microsoft.com/office/spreadsheetml/2010/11/main" uri="{B97F6D7D-B522-45F9-BDA1-12C45D357490}">
          <x15:cacheHierarchy aggregatedColumn="8"/>
        </ext>
      </extLst>
    </cacheHierarchy>
    <cacheHierarchy uniqueName="[Measures].[Sum of Reorder_flag]" caption="Sum of Reorder_flag" measure="1" displayFolder="" measureGroup="tbl_Reorder_Optimization" count="0">
      <extLst>
        <ext xmlns:x15="http://schemas.microsoft.com/office/spreadsheetml/2010/11/main" uri="{B97F6D7D-B522-45F9-BDA1-12C45D357490}">
          <x15:cacheHierarchy aggregatedColumn="28"/>
        </ext>
      </extLst>
    </cacheHierarchy>
    <cacheHierarchy uniqueName="[Measures].[Count of Avg_Daily_Demand]" caption="Count of Avg_Daily_Demand" measure="1" displayFolder="" measureGroup="tbl_Demand_Analysis" count="0">
      <extLst>
        <ext xmlns:x15="http://schemas.microsoft.com/office/spreadsheetml/2010/11/main" uri="{B97F6D7D-B522-45F9-BDA1-12C45D357490}">
          <x15:cacheHierarchy aggregatedColumn="1"/>
        </ext>
      </extLst>
    </cacheHierarchy>
    <cacheHierarchy uniqueName="[Measures].[Sum of Current_Stock]" caption="Sum of Current_Stock" measure="1" displayFolder="" measureGroup="tbl_Reorder_Optimization" count="0">
      <extLst>
        <ext xmlns:x15="http://schemas.microsoft.com/office/spreadsheetml/2010/11/main" uri="{B97F6D7D-B522-45F9-BDA1-12C45D357490}">
          <x15:cacheHierarchy aggregatedColumn="25"/>
        </ext>
      </extLst>
    </cacheHierarchy>
    <cacheHierarchy uniqueName="[Measures].[Sum of Reorder_Point]" caption="Sum of Reorder_Point" measure="1" displayFolder="" measureGroup="tbl_Reorder_Optimization" count="0">
      <extLst>
        <ext xmlns:x15="http://schemas.microsoft.com/office/spreadsheetml/2010/11/main" uri="{B97F6D7D-B522-45F9-BDA1-12C45D357490}">
          <x15:cacheHierarchy aggregatedColumn="24"/>
        </ext>
      </extLst>
    </cacheHierarchy>
    <cacheHierarchy uniqueName="[Measures].[Sum of Avg_Daily_Demand 2]" caption="Sum of Avg_Daily_Demand 2" measure="1" displayFolder="" measureGroup="tbl_Reorder_Optimization" count="0">
      <extLst>
        <ext xmlns:x15="http://schemas.microsoft.com/office/spreadsheetml/2010/11/main" uri="{B97F6D7D-B522-45F9-BDA1-12C45D357490}">
          <x15:cacheHierarchy aggregatedColumn="21"/>
        </ext>
      </extLst>
    </cacheHierarchy>
    <cacheHierarchy uniqueName="[Measures].[Sum of Unit_Cost 2]" caption="Sum of Unit_Cost 2" measure="1" displayFolder="" measureGroup="tbl_Products" count="0">
      <extLst>
        <ext xmlns:x15="http://schemas.microsoft.com/office/spreadsheetml/2010/11/main" uri="{B97F6D7D-B522-45F9-BDA1-12C45D357490}">
          <x15:cacheHierarchy aggregatedColumn="15"/>
        </ext>
      </extLst>
    </cacheHierarchy>
    <cacheHierarchy uniqueName="[Measures].[Average of Avg_Daily_Demand]" caption="Average of Avg_Daily_Demand" measure="1" displayFolder="" measureGroup="tbl_Reorder_Optimization" count="0">
      <extLst>
        <ext xmlns:x15="http://schemas.microsoft.com/office/spreadsheetml/2010/11/main" uri="{B97F6D7D-B522-45F9-BDA1-12C45D357490}">
          <x15:cacheHierarchy aggregatedColumn="21"/>
        </ext>
      </extLst>
    </cacheHierarchy>
    <cacheHierarchy uniqueName="[Measures].[Average of Unit_Cost]" caption="Average of Unit_Cost" measure="1" displayFolder="" measureGroup="tbl_Products" count="0">
      <extLst>
        <ext xmlns:x15="http://schemas.microsoft.com/office/spreadsheetml/2010/11/main" uri="{B97F6D7D-B522-45F9-BDA1-12C45D357490}">
          <x15:cacheHierarchy aggregatedColumn="15"/>
        </ext>
      </extLst>
    </cacheHierarchy>
    <cacheHierarchy uniqueName="[Measures].[Count of Action]" caption="Count of Action" measure="1" displayFolder="" measureGroup="tbl_Reorder_Optimization" count="0">
      <extLst>
        <ext xmlns:x15="http://schemas.microsoft.com/office/spreadsheetml/2010/11/main" uri="{B97F6D7D-B522-45F9-BDA1-12C45D357490}">
          <x15:cacheHierarchy aggregatedColumn="27"/>
        </ext>
      </extLst>
    </cacheHierarchy>
    <cacheHierarchy uniqueName="[Measures].[Count of Reorder_flag]" caption="Count of Reorder_flag" measure="1" displayFolder="" measureGroup="tbl_Reorder_Optimization" count="0">
      <extLst>
        <ext xmlns:x15="http://schemas.microsoft.com/office/spreadsheetml/2010/11/main" uri="{B97F6D7D-B522-45F9-BDA1-12C45D357490}">
          <x15:cacheHierarchy aggregatedColumn="28"/>
        </ext>
      </extLst>
    </cacheHierarchy>
    <cacheHierarchy uniqueName="[Measures].[Average of Unit_Cost 2]" caption="Average of Unit_Cost 2" measure="1" displayFolder="" measureGroup="tbl_Inventory_Status" count="0">
      <extLst>
        <ext xmlns:x15="http://schemas.microsoft.com/office/spreadsheetml/2010/11/main" uri="{B97F6D7D-B522-45F9-BDA1-12C45D357490}">
          <x15:cacheHierarchy aggregatedColumn="8"/>
        </ext>
      </extLst>
    </cacheHierarchy>
    <cacheHierarchy uniqueName="[Measures].[Inventory Gap measure]" caption="Inventory Gap measure" measure="1" displayFolder="" measureGroup="tbl_Products" count="0" oneField="1">
      <fieldsUsage count="1">
        <fieldUsage x="0"/>
      </fieldsUsage>
    </cacheHierarchy>
    <cacheHierarchy uniqueName="[Measures].[__XL_Count tbl_Products]" caption="__XL_Count tbl_Products" measure="1" displayFolder="" measureGroup="tbl_Products" count="0" hidden="1"/>
    <cacheHierarchy uniqueName="[Measures].[__XL_Count tbl_Transactions]" caption="__XL_Count tbl_Transactions" measure="1" displayFolder="" measureGroup="tbl_Transactions" count="0" hidden="1"/>
    <cacheHierarchy uniqueName="[Measures].[__XL_Count tbl_Inventory_Status]" caption="__XL_Count tbl_Inventory_Status" measure="1" displayFolder="" measureGroup="tbl_Inventory_Status" count="0" hidden="1"/>
    <cacheHierarchy uniqueName="[Measures].[__XL_Count tbl_Demand_Analysis]" caption="__XL_Count tbl_Demand_Analysis" measure="1" displayFolder="" measureGroup="tbl_Demand_Analysis" count="0" hidden="1"/>
    <cacheHierarchy uniqueName="[Measures].[__XL_Count tbl_Reorder_Optimization]" caption="__XL_Count tbl_Reorder_Optimization" measure="1" displayFolder="" measureGroup="tbl_Reorder_Optimization" count="0" hidden="1"/>
    <cacheHierarchy uniqueName="[Measures].[__No measures defined]" caption="__No measures defined" measure="1" displayFolder="" count="0" hidden="1"/>
  </cacheHierarchies>
  <kpis count="0"/>
  <dimensions count="6">
    <dimension measure="1" name="Measures" uniqueName="[Measures]" caption="Measures"/>
    <dimension name="tbl_Demand_Analysis" uniqueName="[tbl_Demand_Analysis]" caption="tbl_Demand_Analysis"/>
    <dimension name="tbl_Inventory_Status" uniqueName="[tbl_Inventory_Status]" caption="tbl_Inventory_Status"/>
    <dimension name="tbl_Products" uniqueName="[tbl_Products]" caption="tbl_Products"/>
    <dimension name="tbl_Reorder_Optimization" uniqueName="[tbl_Reorder_Optimization]" caption="tbl_Reorder_Optimization"/>
    <dimension name="tbl_Transactions" uniqueName="[tbl_Transactions]" caption="tbl_Transactions"/>
  </dimensions>
  <measureGroups count="5">
    <measureGroup name="tbl_Demand_Analysis" caption="tbl_Demand_Analysis"/>
    <measureGroup name="tbl_Inventory_Status" caption="tbl_Inventory_Status"/>
    <measureGroup name="tbl_Products" caption="tbl_Products"/>
    <measureGroup name="tbl_Reorder_Optimization" caption="tbl_Reorder_Optimization"/>
    <measureGroup name="tbl_Transactions" caption="tbl_Transactions"/>
  </measureGroups>
  <maps count="8">
    <map measureGroup="0" dimension="1"/>
    <map measureGroup="0" dimension="3"/>
    <map measureGroup="1" dimension="2"/>
    <map measureGroup="1" dimension="3"/>
    <map measureGroup="2" dimension="3"/>
    <map measureGroup="3" dimension="3"/>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gourav jatav" refreshedDate="46012.475467476848" backgroundQuery="1" createdVersion="8" refreshedVersion="8" minRefreshableVersion="3" recordCount="0" supportSubquery="1" supportAdvancedDrill="1" xr:uid="{040E2068-4DA2-4C13-A40F-37A7BAB35235}">
  <cacheSource type="external" connectionId="1"/>
  <cacheFields count="5">
    <cacheField name="[Measures].[Inventory Gap measure]" caption="Inventory Gap measure" numFmtId="0" hierarchy="49" level="32767"/>
    <cacheField name="[tbl_Reorder_Optimization].[Reorder_flag].[Reorder_flag]" caption="Reorder_flag" numFmtId="0" hierarchy="28" level="1">
      <sharedItems containsSemiMixedTypes="0" containsNonDate="0" containsString="0"/>
    </cacheField>
    <cacheField name="[tbl_Reorder_Optimization].[Product_ID].[Product_ID]" caption="Product_ID" numFmtId="0" hierarchy="20" level="1">
      <sharedItems count="10">
        <s v="P012"/>
        <s v="P049"/>
        <s v="P052"/>
        <s v="P065"/>
        <s v="P072"/>
        <s v="P077"/>
        <s v="P093"/>
        <s v="P117"/>
        <s v="P120"/>
        <s v="P121"/>
      </sharedItems>
    </cacheField>
    <cacheField name="[tbl_Products].[Product_ID].[Product_ID]" caption="Product_ID" numFmtId="0" hierarchy="11" level="1">
      <sharedItems count="67">
        <s v="P001"/>
        <s v="P005"/>
        <s v="P006"/>
        <s v="P008"/>
        <s v="P011"/>
        <s v="P012"/>
        <s v="P014"/>
        <s v="P018"/>
        <s v="P020"/>
        <s v="P022"/>
        <s v="P026"/>
        <s v="P027"/>
        <s v="P029"/>
        <s v="P030"/>
        <s v="P032"/>
        <s v="P033"/>
        <s v="P034"/>
        <s v="P035"/>
        <s v="P037"/>
        <s v="P039"/>
        <s v="P041"/>
        <s v="P042"/>
        <s v="P046"/>
        <s v="P049"/>
        <s v="P050"/>
        <s v="P051"/>
        <s v="P052"/>
        <s v="P053"/>
        <s v="P054"/>
        <s v="P056"/>
        <s v="P058"/>
        <s v="P059"/>
        <s v="P064"/>
        <s v="P065"/>
        <s v="P066"/>
        <s v="P069"/>
        <s v="P070"/>
        <s v="P071"/>
        <s v="P072"/>
        <s v="P073"/>
        <s v="P074"/>
        <s v="P075"/>
        <s v="P076"/>
        <s v="P077"/>
        <s v="P082"/>
        <s v="P084"/>
        <s v="P086"/>
        <s v="P087"/>
        <s v="P088"/>
        <s v="P090"/>
        <s v="P092"/>
        <s v="P093"/>
        <s v="P094"/>
        <s v="P102"/>
        <s v="P106"/>
        <s v="P107"/>
        <s v="P108"/>
        <s v="P109"/>
        <s v="P111"/>
        <s v="P112"/>
        <s v="P114"/>
        <s v="P116"/>
        <s v="P117"/>
        <s v="P118"/>
        <s v="P119"/>
        <s v="P120"/>
        <s v="P121"/>
      </sharedItems>
    </cacheField>
    <cacheField name="[tbl_Products].[Product_Name_].[Product_Name_]" caption="Product_Name_" numFmtId="0" hierarchy="12" level="1">
      <sharedItems count="10">
        <s v="Avocado Oil"/>
        <s v="Basmati Rice"/>
        <s v="Coffee Beans"/>
        <s v="Corn Oil"/>
        <s v="Crab"/>
        <s v="Evaporated Milk"/>
        <s v="Lobster"/>
        <s v="Olive Oil"/>
        <s v="Scallops"/>
        <s v="Sesame Oil"/>
      </sharedItems>
    </cacheField>
  </cacheFields>
  <cacheHierarchies count="56">
    <cacheHierarchy uniqueName="[tbl_Demand_Analysis].[Product_ID]" caption="Product_ID" attribute="1" defaultMemberUniqueName="[tbl_Demand_Analysis].[Product_ID].[All]" allUniqueName="[tbl_Demand_Analysis].[Product_ID].[All]" dimensionUniqueName="[tbl_Demand_Analysis]" displayFolder="" count="0" memberValueDatatype="130" unbalanced="0"/>
    <cacheHierarchy uniqueName="[tbl_Demand_Analysis].[Avg_Daily_Demand]" caption="Avg_Daily_Demand" attribute="1" defaultMemberUniqueName="[tbl_Demand_Analysis].[Avg_Daily_Demand].[All]" allUniqueName="[tbl_Demand_Analysis].[Avg_Daily_Demand].[All]" dimensionUniqueName="[tbl_Demand_Analysis]" displayFolder="" count="0" memberValueDatatype="5" unbalanced="0"/>
    <cacheHierarchy uniqueName="[tbl_Demand_Analysis].[Monthly_Demand]" caption="Monthly_Demand" attribute="1" defaultMemberUniqueName="[tbl_Demand_Analysis].[Monthly_Demand].[All]" allUniqueName="[tbl_Demand_Analysis].[Monthly_Demand].[All]" dimensionUniqueName="[tbl_Demand_Analysis]" displayFolder="" count="0" memberValueDatatype="5" unbalanced="0"/>
    <cacheHierarchy uniqueName="[tbl_Demand_Analysis].[Max_Daily_Demand]" caption="Max_Daily_Demand" attribute="1" defaultMemberUniqueName="[tbl_Demand_Analysis].[Max_Daily_Demand].[All]" allUniqueName="[tbl_Demand_Analysis].[Max_Daily_Demand].[All]" dimensionUniqueName="[tbl_Demand_Analysis]" displayFolder="" count="0" memberValueDatatype="20" unbalanced="0"/>
    <cacheHierarchy uniqueName="[tbl_Inventory_Status].[Product_ID]" caption="Product_ID" attribute="1" defaultMemberUniqueName="[tbl_Inventory_Status].[Product_ID].[All]" allUniqueName="[tbl_Inventory_Status].[Product_ID].[All]" dimensionUniqueName="[tbl_Inventory_Status]" displayFolder="" count="0" memberValueDatatype="130" unbalanced="0"/>
    <cacheHierarchy uniqueName="[tbl_Inventory_Status].[Product_Name]" caption="Product_Name" attribute="1" defaultMemberUniqueName="[tbl_Inventory_Status].[Product_Name].[All]" allUniqueName="[tbl_Inventory_Status].[Product_Name].[All]" dimensionUniqueName="[tbl_Inventory_Status]" displayFolder="" count="0" memberValueDatatype="130" unbalanced="0"/>
    <cacheHierarchy uniqueName="[tbl_Inventory_Status].[Category]" caption="Category" attribute="1" defaultMemberUniqueName="[tbl_Inventory_Status].[Category].[All]" allUniqueName="[tbl_Inventory_Status].[Category].[All]" dimensionUniqueName="[tbl_Inventory_Status]" displayFolder="" count="0" memberValueDatatype="130" unbalanced="0"/>
    <cacheHierarchy uniqueName="[tbl_Inventory_Status].[Current_Stock]" caption="Current_Stock" attribute="1" defaultMemberUniqueName="[tbl_Inventory_Status].[Current_Stock].[All]" allUniqueName="[tbl_Inventory_Status].[Current_Stock].[All]" dimensionUniqueName="[tbl_Inventory_Status]" displayFolder="" count="0" memberValueDatatype="20" unbalanced="0"/>
    <cacheHierarchy uniqueName="[tbl_Inventory_Status].[Unit_Cost]" caption="Unit_Cost" attribute="1" defaultMemberUniqueName="[tbl_Inventory_Status].[Unit_Cost].[All]" allUniqueName="[tbl_Inventory_Status].[Unit_Cost].[All]" dimensionUniqueName="[tbl_Inventory_Status]" displayFolder="" count="0" memberValueDatatype="5" unbalanced="0"/>
    <cacheHierarchy uniqueName="[tbl_Inventory_Status].[Inventory_Value]" caption="Inventory_Value" attribute="1" defaultMemberUniqueName="[tbl_Inventory_Status].[Inventory_Value].[All]" allUniqueName="[tbl_Inventory_Status].[Inventory_Value].[All]" dimensionUniqueName="[tbl_Inventory_Status]" displayFolder="" count="0" memberValueDatatype="5" unbalanced="0"/>
    <cacheHierarchy uniqueName="[tbl_Inventory_Status].[Stock_Status]" caption="Stock_Status" attribute="1" defaultMemberUniqueName="[tbl_Inventory_Status].[Stock_Status].[All]" allUniqueName="[tbl_Inventory_Status].[Stock_Status].[All]" dimensionUniqueName="[tbl_Inventory_Status]" displayFolder="" count="0" memberValueDatatype="130" unbalanced="0"/>
    <cacheHierarchy uniqueName="[tbl_Products].[Product_ID]" caption="Product_ID" attribute="1" defaultMemberUniqueName="[tbl_Products].[Product_ID].[All]" allUniqueName="[tbl_Products].[Product_ID].[All]" dimensionUniqueName="[tbl_Products]" displayFolder="" count="2" memberValueDatatype="130" unbalanced="0">
      <fieldsUsage count="2">
        <fieldUsage x="-1"/>
        <fieldUsage x="3"/>
      </fieldsUsage>
    </cacheHierarchy>
    <cacheHierarchy uniqueName="[tbl_Products].[Product_Name_]" caption="Product_Name_" attribute="1" defaultMemberUniqueName="[tbl_Products].[Product_Name_].[All]" allUniqueName="[tbl_Products].[Product_Name_].[All]" dimensionUniqueName="[tbl_Products]" displayFolder="" count="2" memberValueDatatype="130" unbalanced="0">
      <fieldsUsage count="2">
        <fieldUsage x="-1"/>
        <fieldUsage x="4"/>
      </fieldsUsage>
    </cacheHierarchy>
    <cacheHierarchy uniqueName="[tbl_Products].[Category]" caption="Category" attribute="1" defaultMemberUniqueName="[tbl_Products].[Category].[All]" allUniqueName="[tbl_Products].[Category].[All]" dimensionUniqueName="[tbl_Products]" displayFolder="" count="0" memberValueDatatype="130" unbalanced="0"/>
    <cacheHierarchy uniqueName="[tbl_Products].[Supplier_Name]" caption="Supplier_Name" attribute="1" defaultMemberUniqueName="[tbl_Products].[Supplier_Name].[All]" allUniqueName="[tbl_Products].[Supplier_Name].[All]" dimensionUniqueName="[tbl_Products]" displayFolder="" count="0" memberValueDatatype="130" unbalanced="0"/>
    <cacheHierarchy uniqueName="[tbl_Products].[Unit_Cost]" caption="Unit_Cost" attribute="1" defaultMemberUniqueName="[tbl_Products].[Unit_Cost].[All]" allUniqueName="[tbl_Products].[Unit_Cost].[All]" dimensionUniqueName="[tbl_Products]" displayFolder="" count="0" memberValueDatatype="5" unbalanced="0"/>
    <cacheHierarchy uniqueName="[tbl_Products].[Lead_Time_(Days)]" caption="Lead_Time_(Days)" attribute="1" defaultMemberUniqueName="[tbl_Products].[Lead_Time_(Days)].[All]" allUniqueName="[tbl_Products].[Lead_Time_(Days)].[All]" dimensionUniqueName="[tbl_Products]" displayFolder="" count="0" memberValueDatatype="20" unbalanced="0"/>
    <cacheHierarchy uniqueName="[tbl_Products].[Minimum_Order_Quantity(MOQ)]" caption="Minimum_Order_Quantity(MOQ)" attribute="1" defaultMemberUniqueName="[tbl_Products].[Minimum_Order_Quantity(MOQ)].[All]" allUniqueName="[tbl_Products].[Minimum_Order_Quantity(MOQ)].[All]" dimensionUniqueName="[tbl_Products]" displayFolder="" count="0" memberValueDatatype="20" unbalanced="0"/>
    <cacheHierarchy uniqueName="[tbl_Products].[Holding_Cost_per_Unit(Monthly)]" caption="Holding_Cost_per_Unit(Monthly)" attribute="1" defaultMemberUniqueName="[tbl_Products].[Holding_Cost_per_Unit(Monthly)].[All]" allUniqueName="[tbl_Products].[Holding_Cost_per_Unit(Monthly)].[All]" dimensionUniqueName="[tbl_Products]" displayFolder="" count="0" memberValueDatatype="5" unbalanced="0"/>
    <cacheHierarchy uniqueName="[tbl_Products].[Order_Cost_per_Unit]" caption="Order_Cost_per_Unit" attribute="1" defaultMemberUniqueName="[tbl_Products].[Order_Cost_per_Unit].[All]" allUniqueName="[tbl_Products].[Order_Cost_per_Unit].[All]" dimensionUniqueName="[tbl_Products]" displayFolder="" count="0" memberValueDatatype="20" unbalanced="0"/>
    <cacheHierarchy uniqueName="[tbl_Reorder_Optimization].[Product_ID]" caption="Product_ID" attribute="1" defaultMemberUniqueName="[tbl_Reorder_Optimization].[Product_ID].[All]" allUniqueName="[tbl_Reorder_Optimization].[Product_ID].[All]" dimensionUniqueName="[tbl_Reorder_Optimization]" displayFolder="" count="2" memberValueDatatype="130" unbalanced="0">
      <fieldsUsage count="2">
        <fieldUsage x="-1"/>
        <fieldUsage x="2"/>
      </fieldsUsage>
    </cacheHierarchy>
    <cacheHierarchy uniqueName="[tbl_Reorder_Optimization].[Avg_Daily_Demand]" caption="Avg_Daily_Demand" attribute="1" defaultMemberUniqueName="[tbl_Reorder_Optimization].[Avg_Daily_Demand].[All]" allUniqueName="[tbl_Reorder_Optimization].[Avg_Daily_Demand].[All]" dimensionUniqueName="[tbl_Reorder_Optimization]" displayFolder="" count="0" memberValueDatatype="5" unbalanced="0"/>
    <cacheHierarchy uniqueName="[tbl_Reorder_Optimization].[Lead_Time]" caption="Lead_Time" attribute="1" defaultMemberUniqueName="[tbl_Reorder_Optimization].[Lead_Time].[All]" allUniqueName="[tbl_Reorder_Optimization].[Lead_Time].[All]" dimensionUniqueName="[tbl_Reorder_Optimization]" displayFolder="" count="0" memberValueDatatype="20" unbalanced="0"/>
    <cacheHierarchy uniqueName="[tbl_Reorder_Optimization].[Safety_Stock]" caption="Safety_Stock" attribute="1" defaultMemberUniqueName="[tbl_Reorder_Optimization].[Safety_Stock].[All]" allUniqueName="[tbl_Reorder_Optimization].[Safety_Stock].[All]" dimensionUniqueName="[tbl_Reorder_Optimization]" displayFolder="" count="0" memberValueDatatype="5" unbalanced="0"/>
    <cacheHierarchy uniqueName="[tbl_Reorder_Optimization].[Reorder_Point]" caption="Reorder_Point" attribute="1" defaultMemberUniqueName="[tbl_Reorder_Optimization].[Reorder_Point].[All]" allUniqueName="[tbl_Reorder_Optimization].[Reorder_Point].[All]" dimensionUniqueName="[tbl_Reorder_Optimization]" displayFolder="" count="0" memberValueDatatype="20" unbalanced="0"/>
    <cacheHierarchy uniqueName="[tbl_Reorder_Optimization].[Current_Stock]" caption="Current_Stock" attribute="1" defaultMemberUniqueName="[tbl_Reorder_Optimization].[Current_Stock].[All]" allUniqueName="[tbl_Reorder_Optimization].[Current_Stock].[All]" dimensionUniqueName="[tbl_Reorder_Optimization]" displayFolder="" count="0" memberValueDatatype="20" unbalanced="0"/>
    <cacheHierarchy uniqueName="[tbl_Reorder_Optimization].[EOQ]" caption="EOQ" attribute="1" defaultMemberUniqueName="[tbl_Reorder_Optimization].[EOQ].[All]" allUniqueName="[tbl_Reorder_Optimization].[EOQ].[All]" dimensionUniqueName="[tbl_Reorder_Optimization]" displayFolder="" count="0" memberValueDatatype="5" unbalanced="0"/>
    <cacheHierarchy uniqueName="[tbl_Reorder_Optimization].[Action]" caption="Action" attribute="1" defaultMemberUniqueName="[tbl_Reorder_Optimization].[Action].[All]" allUniqueName="[tbl_Reorder_Optimization].[Action].[All]" dimensionUniqueName="[tbl_Reorder_Optimization]" displayFolder="" count="0" memberValueDatatype="130" unbalanced="0"/>
    <cacheHierarchy uniqueName="[tbl_Reorder_Optimization].[Reorder_flag]" caption="Reorder_flag" attribute="1" defaultMemberUniqueName="[tbl_Reorder_Optimization].[Reorder_flag].[All]" allUniqueName="[tbl_Reorder_Optimization].[Reorder_flag].[All]" dimensionUniqueName="[tbl_Reorder_Optimization]" displayFolder="" count="2" memberValueDatatype="20" unbalanced="0">
      <fieldsUsage count="2">
        <fieldUsage x="-1"/>
        <fieldUsage x="1"/>
      </fieldsUsage>
    </cacheHierarchy>
    <cacheHierarchy uniqueName="[tbl_Transactions].[Transaction_ID]" caption="Transaction_ID" attribute="1" defaultMemberUniqueName="[tbl_Transactions].[Transaction_ID].[All]" allUniqueName="[tbl_Transactions].[Transaction_ID].[All]" dimensionUniqueName="[tbl_Transactions]" displayFolder="" count="0" memberValueDatatype="130" unbalanced="0"/>
    <cacheHierarchy uniqueName="[tbl_Transactions].[Transaction Date]" caption="Transaction Date" attribute="1" time="1" defaultMemberUniqueName="[tbl_Transactions].[Transaction Date].[All]" allUniqueName="[tbl_Transactions].[Transaction Date].[All]" dimensionUniqueName="[tbl_Transactions]" displayFolder="" count="0" memberValueDatatype="7" unbalanced="0"/>
    <cacheHierarchy uniqueName="[tbl_Transactions].[Product ID]" caption="Product ID" attribute="1" defaultMemberUniqueName="[tbl_Transactions].[Product ID].[All]" allUniqueName="[tbl_Transactions].[Product ID].[All]" dimensionUniqueName="[tbl_Transactions]" displayFolder="" count="0" memberValueDatatype="130" unbalanced="0"/>
    <cacheHierarchy uniqueName="[tbl_Transactions].[Transaction Type]" caption="Transaction Type" attribute="1" defaultMemberUniqueName="[tbl_Transactions].[Transaction Type].[All]" allUniqueName="[tbl_Transactions].[Transaction Type].[All]" dimensionUniqueName="[tbl_Transactions]" displayFolder="" count="0" memberValueDatatype="130" unbalanced="0"/>
    <cacheHierarchy uniqueName="[tbl_Transactions].[Quantity]" caption="Quantity" attribute="1" defaultMemberUniqueName="[tbl_Transactions].[Quantity].[All]" allUniqueName="[tbl_Transactions].[Quantity].[All]" dimensionUniqueName="[tbl_Transactions]" displayFolder="" count="0" memberValueDatatype="20" unbalanced="0"/>
    <cacheHierarchy uniqueName="[tbl_Transactions].[Location]" caption="Location" attribute="1" defaultMemberUniqueName="[tbl_Transactions].[Location].[All]" allUniqueName="[tbl_Transactions].[Location].[All]" dimensionUniqueName="[tbl_Transactions]" displayFolder="" count="0" memberValueDatatype="130" unbalanced="0"/>
    <cacheHierarchy uniqueName="[Measures].[Sum of Inventory_Value]" caption="Sum of Inventory_Value" measure="1" displayFolder="" measureGroup="tbl_Inventory_Status" count="0">
      <extLst>
        <ext xmlns:x15="http://schemas.microsoft.com/office/spreadsheetml/2010/11/main" uri="{B97F6D7D-B522-45F9-BDA1-12C45D357490}">
          <x15:cacheHierarchy aggregatedColumn="9"/>
        </ext>
      </extLst>
    </cacheHierarchy>
    <cacheHierarchy uniqueName="[Measures].[Sum of Avg_Daily_Demand]" caption="Sum of Avg_Daily_Demand" measure="1" displayFolder="" measureGroup="tbl_Demand_Analysis" count="0">
      <extLst>
        <ext xmlns:x15="http://schemas.microsoft.com/office/spreadsheetml/2010/11/main" uri="{B97F6D7D-B522-45F9-BDA1-12C45D357490}">
          <x15:cacheHierarchy aggregatedColumn="1"/>
        </ext>
      </extLst>
    </cacheHierarchy>
    <cacheHierarchy uniqueName="[Measures].[Sum of Unit_Cost]" caption="Sum of Unit_Cost" measure="1" displayFolder="" measureGroup="tbl_Inventory_Status" count="0">
      <extLst>
        <ext xmlns:x15="http://schemas.microsoft.com/office/spreadsheetml/2010/11/main" uri="{B97F6D7D-B522-45F9-BDA1-12C45D357490}">
          <x15:cacheHierarchy aggregatedColumn="8"/>
        </ext>
      </extLst>
    </cacheHierarchy>
    <cacheHierarchy uniqueName="[Measures].[Sum of Reorder_flag]" caption="Sum of Reorder_flag" measure="1" displayFolder="" measureGroup="tbl_Reorder_Optimization" count="0">
      <extLst>
        <ext xmlns:x15="http://schemas.microsoft.com/office/spreadsheetml/2010/11/main" uri="{B97F6D7D-B522-45F9-BDA1-12C45D357490}">
          <x15:cacheHierarchy aggregatedColumn="28"/>
        </ext>
      </extLst>
    </cacheHierarchy>
    <cacheHierarchy uniqueName="[Measures].[Count of Avg_Daily_Demand]" caption="Count of Avg_Daily_Demand" measure="1" displayFolder="" measureGroup="tbl_Demand_Analysis" count="0">
      <extLst>
        <ext xmlns:x15="http://schemas.microsoft.com/office/spreadsheetml/2010/11/main" uri="{B97F6D7D-B522-45F9-BDA1-12C45D357490}">
          <x15:cacheHierarchy aggregatedColumn="1"/>
        </ext>
      </extLst>
    </cacheHierarchy>
    <cacheHierarchy uniqueName="[Measures].[Sum of Current_Stock]" caption="Sum of Current_Stock" measure="1" displayFolder="" measureGroup="tbl_Reorder_Optimization" count="0">
      <extLst>
        <ext xmlns:x15="http://schemas.microsoft.com/office/spreadsheetml/2010/11/main" uri="{B97F6D7D-B522-45F9-BDA1-12C45D357490}">
          <x15:cacheHierarchy aggregatedColumn="25"/>
        </ext>
      </extLst>
    </cacheHierarchy>
    <cacheHierarchy uniqueName="[Measures].[Sum of Reorder_Point]" caption="Sum of Reorder_Point" measure="1" displayFolder="" measureGroup="tbl_Reorder_Optimization" count="0">
      <extLst>
        <ext xmlns:x15="http://schemas.microsoft.com/office/spreadsheetml/2010/11/main" uri="{B97F6D7D-B522-45F9-BDA1-12C45D357490}">
          <x15:cacheHierarchy aggregatedColumn="24"/>
        </ext>
      </extLst>
    </cacheHierarchy>
    <cacheHierarchy uniqueName="[Measures].[Sum of Avg_Daily_Demand 2]" caption="Sum of Avg_Daily_Demand 2" measure="1" displayFolder="" measureGroup="tbl_Reorder_Optimization" count="0">
      <extLst>
        <ext xmlns:x15="http://schemas.microsoft.com/office/spreadsheetml/2010/11/main" uri="{B97F6D7D-B522-45F9-BDA1-12C45D357490}">
          <x15:cacheHierarchy aggregatedColumn="21"/>
        </ext>
      </extLst>
    </cacheHierarchy>
    <cacheHierarchy uniqueName="[Measures].[Sum of Unit_Cost 2]" caption="Sum of Unit_Cost 2" measure="1" displayFolder="" measureGroup="tbl_Products" count="0">
      <extLst>
        <ext xmlns:x15="http://schemas.microsoft.com/office/spreadsheetml/2010/11/main" uri="{B97F6D7D-B522-45F9-BDA1-12C45D357490}">
          <x15:cacheHierarchy aggregatedColumn="15"/>
        </ext>
      </extLst>
    </cacheHierarchy>
    <cacheHierarchy uniqueName="[Measures].[Average of Avg_Daily_Demand]" caption="Average of Avg_Daily_Demand" measure="1" displayFolder="" measureGroup="tbl_Reorder_Optimization" count="0">
      <extLst>
        <ext xmlns:x15="http://schemas.microsoft.com/office/spreadsheetml/2010/11/main" uri="{B97F6D7D-B522-45F9-BDA1-12C45D357490}">
          <x15:cacheHierarchy aggregatedColumn="21"/>
        </ext>
      </extLst>
    </cacheHierarchy>
    <cacheHierarchy uniqueName="[Measures].[Average of Unit_Cost]" caption="Average of Unit_Cost" measure="1" displayFolder="" measureGroup="tbl_Products" count="0">
      <extLst>
        <ext xmlns:x15="http://schemas.microsoft.com/office/spreadsheetml/2010/11/main" uri="{B97F6D7D-B522-45F9-BDA1-12C45D357490}">
          <x15:cacheHierarchy aggregatedColumn="15"/>
        </ext>
      </extLst>
    </cacheHierarchy>
    <cacheHierarchy uniqueName="[Measures].[Count of Action]" caption="Count of Action" measure="1" displayFolder="" measureGroup="tbl_Reorder_Optimization" count="0">
      <extLst>
        <ext xmlns:x15="http://schemas.microsoft.com/office/spreadsheetml/2010/11/main" uri="{B97F6D7D-B522-45F9-BDA1-12C45D357490}">
          <x15:cacheHierarchy aggregatedColumn="27"/>
        </ext>
      </extLst>
    </cacheHierarchy>
    <cacheHierarchy uniqueName="[Measures].[Count of Reorder_flag]" caption="Count of Reorder_flag" measure="1" displayFolder="" measureGroup="tbl_Reorder_Optimization" count="0">
      <extLst>
        <ext xmlns:x15="http://schemas.microsoft.com/office/spreadsheetml/2010/11/main" uri="{B97F6D7D-B522-45F9-BDA1-12C45D357490}">
          <x15:cacheHierarchy aggregatedColumn="28"/>
        </ext>
      </extLst>
    </cacheHierarchy>
    <cacheHierarchy uniqueName="[Measures].[Average of Unit_Cost 2]" caption="Average of Unit_Cost 2" measure="1" displayFolder="" measureGroup="tbl_Inventory_Status" count="0">
      <extLst>
        <ext xmlns:x15="http://schemas.microsoft.com/office/spreadsheetml/2010/11/main" uri="{B97F6D7D-B522-45F9-BDA1-12C45D357490}">
          <x15:cacheHierarchy aggregatedColumn="8"/>
        </ext>
      </extLst>
    </cacheHierarchy>
    <cacheHierarchy uniqueName="[Measures].[Inventory Gap measure]" caption="Inventory Gap measure" measure="1" displayFolder="" measureGroup="tbl_Products" count="0" oneField="1">
      <fieldsUsage count="1">
        <fieldUsage x="0"/>
      </fieldsUsage>
    </cacheHierarchy>
    <cacheHierarchy uniqueName="[Measures].[__XL_Count tbl_Products]" caption="__XL_Count tbl_Products" measure="1" displayFolder="" measureGroup="tbl_Products" count="0" hidden="1"/>
    <cacheHierarchy uniqueName="[Measures].[__XL_Count tbl_Transactions]" caption="__XL_Count tbl_Transactions" measure="1" displayFolder="" measureGroup="tbl_Transactions" count="0" hidden="1"/>
    <cacheHierarchy uniqueName="[Measures].[__XL_Count tbl_Inventory_Status]" caption="__XL_Count tbl_Inventory_Status" measure="1" displayFolder="" measureGroup="tbl_Inventory_Status" count="0" hidden="1"/>
    <cacheHierarchy uniqueName="[Measures].[__XL_Count tbl_Demand_Analysis]" caption="__XL_Count tbl_Demand_Analysis" measure="1" displayFolder="" measureGroup="tbl_Demand_Analysis" count="0" hidden="1"/>
    <cacheHierarchy uniqueName="[Measures].[__XL_Count tbl_Reorder_Optimization]" caption="__XL_Count tbl_Reorder_Optimization" measure="1" displayFolder="" measureGroup="tbl_Reorder_Optimization" count="0" hidden="1"/>
    <cacheHierarchy uniqueName="[Measures].[__No measures defined]" caption="__No measures defined" measure="1" displayFolder="" count="0" hidden="1"/>
  </cacheHierarchies>
  <kpis count="0"/>
  <dimensions count="6">
    <dimension measure="1" name="Measures" uniqueName="[Measures]" caption="Measures"/>
    <dimension name="tbl_Demand_Analysis" uniqueName="[tbl_Demand_Analysis]" caption="tbl_Demand_Analysis"/>
    <dimension name="tbl_Inventory_Status" uniqueName="[tbl_Inventory_Status]" caption="tbl_Inventory_Status"/>
    <dimension name="tbl_Products" uniqueName="[tbl_Products]" caption="tbl_Products"/>
    <dimension name="tbl_Reorder_Optimization" uniqueName="[tbl_Reorder_Optimization]" caption="tbl_Reorder_Optimization"/>
    <dimension name="tbl_Transactions" uniqueName="[tbl_Transactions]" caption="tbl_Transactions"/>
  </dimensions>
  <measureGroups count="5">
    <measureGroup name="tbl_Demand_Analysis" caption="tbl_Demand_Analysis"/>
    <measureGroup name="tbl_Inventory_Status" caption="tbl_Inventory_Status"/>
    <measureGroup name="tbl_Products" caption="tbl_Products"/>
    <measureGroup name="tbl_Reorder_Optimization" caption="tbl_Reorder_Optimization"/>
    <measureGroup name="tbl_Transactions" caption="tbl_Transactions"/>
  </measureGroups>
  <maps count="8">
    <map measureGroup="0" dimension="1"/>
    <map measureGroup="0" dimension="3"/>
    <map measureGroup="1" dimension="2"/>
    <map measureGroup="1" dimension="3"/>
    <map measureGroup="2" dimension="3"/>
    <map measureGroup="3" dimension="3"/>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gourav jatav" refreshedDate="46012.475469328703" backgroundQuery="1" createdVersion="8" refreshedVersion="8" minRefreshableVersion="3" recordCount="0" supportSubquery="1" supportAdvancedDrill="1" xr:uid="{4612D165-E05C-43D9-85F6-DFCCFDD731E3}">
  <cacheSource type="external" connectionId="1"/>
  <cacheFields count="2">
    <cacheField name="[tbl_Inventory_Status].[Category].[Category]" caption="Category" numFmtId="0" hierarchy="6" level="1">
      <sharedItems count="7">
        <s v="Bakery"/>
        <s v="Beverages"/>
        <s v="Dairy"/>
        <s v="Fruits"/>
        <s v="Grains"/>
        <s v="Oils"/>
        <s v="Seafood"/>
      </sharedItems>
    </cacheField>
    <cacheField name="[Measures].[Sum of Inventory_Value]" caption="Sum of Inventory_Value" numFmtId="0" hierarchy="35" level="32767"/>
  </cacheFields>
  <cacheHierarchies count="56">
    <cacheHierarchy uniqueName="[tbl_Demand_Analysis].[Product_ID]" caption="Product_ID" attribute="1" defaultMemberUniqueName="[tbl_Demand_Analysis].[Product_ID].[All]" allUniqueName="[tbl_Demand_Analysis].[Product_ID].[All]" dimensionUniqueName="[tbl_Demand_Analysis]" displayFolder="" count="0" memberValueDatatype="130" unbalanced="0"/>
    <cacheHierarchy uniqueName="[tbl_Demand_Analysis].[Avg_Daily_Demand]" caption="Avg_Daily_Demand" attribute="1" defaultMemberUniqueName="[tbl_Demand_Analysis].[Avg_Daily_Demand].[All]" allUniqueName="[tbl_Demand_Analysis].[Avg_Daily_Demand].[All]" dimensionUniqueName="[tbl_Demand_Analysis]" displayFolder="" count="0" memberValueDatatype="5" unbalanced="0"/>
    <cacheHierarchy uniqueName="[tbl_Demand_Analysis].[Monthly_Demand]" caption="Monthly_Demand" attribute="1" defaultMemberUniqueName="[tbl_Demand_Analysis].[Monthly_Demand].[All]" allUniqueName="[tbl_Demand_Analysis].[Monthly_Demand].[All]" dimensionUniqueName="[tbl_Demand_Analysis]" displayFolder="" count="0" memberValueDatatype="5" unbalanced="0"/>
    <cacheHierarchy uniqueName="[tbl_Demand_Analysis].[Max_Daily_Demand]" caption="Max_Daily_Demand" attribute="1" defaultMemberUniqueName="[tbl_Demand_Analysis].[Max_Daily_Demand].[All]" allUniqueName="[tbl_Demand_Analysis].[Max_Daily_Demand].[All]" dimensionUniqueName="[tbl_Demand_Analysis]" displayFolder="" count="0" memberValueDatatype="20" unbalanced="0"/>
    <cacheHierarchy uniqueName="[tbl_Inventory_Status].[Product_ID]" caption="Product_ID" attribute="1" defaultMemberUniqueName="[tbl_Inventory_Status].[Product_ID].[All]" allUniqueName="[tbl_Inventory_Status].[Product_ID].[All]" dimensionUniqueName="[tbl_Inventory_Status]" displayFolder="" count="0" memberValueDatatype="130" unbalanced="0"/>
    <cacheHierarchy uniqueName="[tbl_Inventory_Status].[Product_Name]" caption="Product_Name" attribute="1" defaultMemberUniqueName="[tbl_Inventory_Status].[Product_Name].[All]" allUniqueName="[tbl_Inventory_Status].[Product_Name].[All]" dimensionUniqueName="[tbl_Inventory_Status]" displayFolder="" count="0" memberValueDatatype="130" unbalanced="0"/>
    <cacheHierarchy uniqueName="[tbl_Inventory_Status].[Category]" caption="Category" attribute="1" defaultMemberUniqueName="[tbl_Inventory_Status].[Category].[All]" allUniqueName="[tbl_Inventory_Status].[Category].[All]" dimensionUniqueName="[tbl_Inventory_Status]" displayFolder="" count="2" memberValueDatatype="130" unbalanced="0">
      <fieldsUsage count="2">
        <fieldUsage x="-1"/>
        <fieldUsage x="0"/>
      </fieldsUsage>
    </cacheHierarchy>
    <cacheHierarchy uniqueName="[tbl_Inventory_Status].[Current_Stock]" caption="Current_Stock" attribute="1" defaultMemberUniqueName="[tbl_Inventory_Status].[Current_Stock].[All]" allUniqueName="[tbl_Inventory_Status].[Current_Stock].[All]" dimensionUniqueName="[tbl_Inventory_Status]" displayFolder="" count="0" memberValueDatatype="20" unbalanced="0"/>
    <cacheHierarchy uniqueName="[tbl_Inventory_Status].[Unit_Cost]" caption="Unit_Cost" attribute="1" defaultMemberUniqueName="[tbl_Inventory_Status].[Unit_Cost].[All]" allUniqueName="[tbl_Inventory_Status].[Unit_Cost].[All]" dimensionUniqueName="[tbl_Inventory_Status]" displayFolder="" count="0" memberValueDatatype="5" unbalanced="0"/>
    <cacheHierarchy uniqueName="[tbl_Inventory_Status].[Inventory_Value]" caption="Inventory_Value" attribute="1" defaultMemberUniqueName="[tbl_Inventory_Status].[Inventory_Value].[All]" allUniqueName="[tbl_Inventory_Status].[Inventory_Value].[All]" dimensionUniqueName="[tbl_Inventory_Status]" displayFolder="" count="0" memberValueDatatype="5" unbalanced="0"/>
    <cacheHierarchy uniqueName="[tbl_Inventory_Status].[Stock_Status]" caption="Stock_Status" attribute="1" defaultMemberUniqueName="[tbl_Inventory_Status].[Stock_Status].[All]" allUniqueName="[tbl_Inventory_Status].[Stock_Status].[All]" dimensionUniqueName="[tbl_Inventory_Status]" displayFolder="" count="0" memberValueDatatype="130" unbalanced="0"/>
    <cacheHierarchy uniqueName="[tbl_Products].[Product_ID]" caption="Product_ID" attribute="1" defaultMemberUniqueName="[tbl_Products].[Product_ID].[All]" allUniqueName="[tbl_Products].[Product_ID].[All]" dimensionUniqueName="[tbl_Products]" displayFolder="" count="0" memberValueDatatype="130" unbalanced="0"/>
    <cacheHierarchy uniqueName="[tbl_Products].[Product_Name_]" caption="Product_Name_" attribute="1" defaultMemberUniqueName="[tbl_Products].[Product_Name_].[All]" allUniqueName="[tbl_Products].[Product_Name_].[All]" dimensionUniqueName="[tbl_Products]" displayFolder="" count="0" memberValueDatatype="130" unbalanced="0"/>
    <cacheHierarchy uniqueName="[tbl_Products].[Category]" caption="Category" attribute="1" defaultMemberUniqueName="[tbl_Products].[Category].[All]" allUniqueName="[tbl_Products].[Category].[All]" dimensionUniqueName="[tbl_Products]" displayFolder="" count="0" memberValueDatatype="130" unbalanced="0"/>
    <cacheHierarchy uniqueName="[tbl_Products].[Supplier_Name]" caption="Supplier_Name" attribute="1" defaultMemberUniqueName="[tbl_Products].[Supplier_Name].[All]" allUniqueName="[tbl_Products].[Supplier_Name].[All]" dimensionUniqueName="[tbl_Products]" displayFolder="" count="0" memberValueDatatype="130" unbalanced="0"/>
    <cacheHierarchy uniqueName="[tbl_Products].[Unit_Cost]" caption="Unit_Cost" attribute="1" defaultMemberUniqueName="[tbl_Products].[Unit_Cost].[All]" allUniqueName="[tbl_Products].[Unit_Cost].[All]" dimensionUniqueName="[tbl_Products]" displayFolder="" count="0" memberValueDatatype="5" unbalanced="0"/>
    <cacheHierarchy uniqueName="[tbl_Products].[Lead_Time_(Days)]" caption="Lead_Time_(Days)" attribute="1" defaultMemberUniqueName="[tbl_Products].[Lead_Time_(Days)].[All]" allUniqueName="[tbl_Products].[Lead_Time_(Days)].[All]" dimensionUniqueName="[tbl_Products]" displayFolder="" count="0" memberValueDatatype="20" unbalanced="0"/>
    <cacheHierarchy uniqueName="[tbl_Products].[Minimum_Order_Quantity(MOQ)]" caption="Minimum_Order_Quantity(MOQ)" attribute="1" defaultMemberUniqueName="[tbl_Products].[Minimum_Order_Quantity(MOQ)].[All]" allUniqueName="[tbl_Products].[Minimum_Order_Quantity(MOQ)].[All]" dimensionUniqueName="[tbl_Products]" displayFolder="" count="0" memberValueDatatype="20" unbalanced="0"/>
    <cacheHierarchy uniqueName="[tbl_Products].[Holding_Cost_per_Unit(Monthly)]" caption="Holding_Cost_per_Unit(Monthly)" attribute="1" defaultMemberUniqueName="[tbl_Products].[Holding_Cost_per_Unit(Monthly)].[All]" allUniqueName="[tbl_Products].[Holding_Cost_per_Unit(Monthly)].[All]" dimensionUniqueName="[tbl_Products]" displayFolder="" count="0" memberValueDatatype="5" unbalanced="0"/>
    <cacheHierarchy uniqueName="[tbl_Products].[Order_Cost_per_Unit]" caption="Order_Cost_per_Unit" attribute="1" defaultMemberUniqueName="[tbl_Products].[Order_Cost_per_Unit].[All]" allUniqueName="[tbl_Products].[Order_Cost_per_Unit].[All]" dimensionUniqueName="[tbl_Products]" displayFolder="" count="0" memberValueDatatype="20" unbalanced="0"/>
    <cacheHierarchy uniqueName="[tbl_Reorder_Optimization].[Product_ID]" caption="Product_ID" attribute="1" defaultMemberUniqueName="[tbl_Reorder_Optimization].[Product_ID].[All]" allUniqueName="[tbl_Reorder_Optimization].[Product_ID].[All]" dimensionUniqueName="[tbl_Reorder_Optimization]" displayFolder="" count="0" memberValueDatatype="130" unbalanced="0"/>
    <cacheHierarchy uniqueName="[tbl_Reorder_Optimization].[Avg_Daily_Demand]" caption="Avg_Daily_Demand" attribute="1" defaultMemberUniqueName="[tbl_Reorder_Optimization].[Avg_Daily_Demand].[All]" allUniqueName="[tbl_Reorder_Optimization].[Avg_Daily_Demand].[All]" dimensionUniqueName="[tbl_Reorder_Optimization]" displayFolder="" count="0" memberValueDatatype="5" unbalanced="0"/>
    <cacheHierarchy uniqueName="[tbl_Reorder_Optimization].[Lead_Time]" caption="Lead_Time" attribute="1" defaultMemberUniqueName="[tbl_Reorder_Optimization].[Lead_Time].[All]" allUniqueName="[tbl_Reorder_Optimization].[Lead_Time].[All]" dimensionUniqueName="[tbl_Reorder_Optimization]" displayFolder="" count="0" memberValueDatatype="20" unbalanced="0"/>
    <cacheHierarchy uniqueName="[tbl_Reorder_Optimization].[Safety_Stock]" caption="Safety_Stock" attribute="1" defaultMemberUniqueName="[tbl_Reorder_Optimization].[Safety_Stock].[All]" allUniqueName="[tbl_Reorder_Optimization].[Safety_Stock].[All]" dimensionUniqueName="[tbl_Reorder_Optimization]" displayFolder="" count="0" memberValueDatatype="5" unbalanced="0"/>
    <cacheHierarchy uniqueName="[tbl_Reorder_Optimization].[Reorder_Point]" caption="Reorder_Point" attribute="1" defaultMemberUniqueName="[tbl_Reorder_Optimization].[Reorder_Point].[All]" allUniqueName="[tbl_Reorder_Optimization].[Reorder_Point].[All]" dimensionUniqueName="[tbl_Reorder_Optimization]" displayFolder="" count="0" memberValueDatatype="20" unbalanced="0"/>
    <cacheHierarchy uniqueName="[tbl_Reorder_Optimization].[Current_Stock]" caption="Current_Stock" attribute="1" defaultMemberUniqueName="[tbl_Reorder_Optimization].[Current_Stock].[All]" allUniqueName="[tbl_Reorder_Optimization].[Current_Stock].[All]" dimensionUniqueName="[tbl_Reorder_Optimization]" displayFolder="" count="0" memberValueDatatype="20" unbalanced="0"/>
    <cacheHierarchy uniqueName="[tbl_Reorder_Optimization].[EOQ]" caption="EOQ" attribute="1" defaultMemberUniqueName="[tbl_Reorder_Optimization].[EOQ].[All]" allUniqueName="[tbl_Reorder_Optimization].[EOQ].[All]" dimensionUniqueName="[tbl_Reorder_Optimization]" displayFolder="" count="0" memberValueDatatype="5" unbalanced="0"/>
    <cacheHierarchy uniqueName="[tbl_Reorder_Optimization].[Action]" caption="Action" attribute="1" defaultMemberUniqueName="[tbl_Reorder_Optimization].[Action].[All]" allUniqueName="[tbl_Reorder_Optimization].[Action].[All]" dimensionUniqueName="[tbl_Reorder_Optimization]" displayFolder="" count="0" memberValueDatatype="130" unbalanced="0"/>
    <cacheHierarchy uniqueName="[tbl_Reorder_Optimization].[Reorder_flag]" caption="Reorder_flag" attribute="1" defaultMemberUniqueName="[tbl_Reorder_Optimization].[Reorder_flag].[All]" allUniqueName="[tbl_Reorder_Optimization].[Reorder_flag].[All]" dimensionUniqueName="[tbl_Reorder_Optimization]" displayFolder="" count="0" memberValueDatatype="20" unbalanced="0"/>
    <cacheHierarchy uniqueName="[tbl_Transactions].[Transaction_ID]" caption="Transaction_ID" attribute="1" defaultMemberUniqueName="[tbl_Transactions].[Transaction_ID].[All]" allUniqueName="[tbl_Transactions].[Transaction_ID].[All]" dimensionUniqueName="[tbl_Transactions]" displayFolder="" count="0" memberValueDatatype="130" unbalanced="0"/>
    <cacheHierarchy uniqueName="[tbl_Transactions].[Transaction Date]" caption="Transaction Date" attribute="1" time="1" defaultMemberUniqueName="[tbl_Transactions].[Transaction Date].[All]" allUniqueName="[tbl_Transactions].[Transaction Date].[All]" dimensionUniqueName="[tbl_Transactions]" displayFolder="" count="0" memberValueDatatype="7" unbalanced="0"/>
    <cacheHierarchy uniqueName="[tbl_Transactions].[Product ID]" caption="Product ID" attribute="1" defaultMemberUniqueName="[tbl_Transactions].[Product ID].[All]" allUniqueName="[tbl_Transactions].[Product ID].[All]" dimensionUniqueName="[tbl_Transactions]" displayFolder="" count="0" memberValueDatatype="130" unbalanced="0"/>
    <cacheHierarchy uniqueName="[tbl_Transactions].[Transaction Type]" caption="Transaction Type" attribute="1" defaultMemberUniqueName="[tbl_Transactions].[Transaction Type].[All]" allUniqueName="[tbl_Transactions].[Transaction Type].[All]" dimensionUniqueName="[tbl_Transactions]" displayFolder="" count="0" memberValueDatatype="130" unbalanced="0"/>
    <cacheHierarchy uniqueName="[tbl_Transactions].[Quantity]" caption="Quantity" attribute="1" defaultMemberUniqueName="[tbl_Transactions].[Quantity].[All]" allUniqueName="[tbl_Transactions].[Quantity].[All]" dimensionUniqueName="[tbl_Transactions]" displayFolder="" count="0" memberValueDatatype="20" unbalanced="0"/>
    <cacheHierarchy uniqueName="[tbl_Transactions].[Location]" caption="Location" attribute="1" defaultMemberUniqueName="[tbl_Transactions].[Location].[All]" allUniqueName="[tbl_Transactions].[Location].[All]" dimensionUniqueName="[tbl_Transactions]" displayFolder="" count="0" memberValueDatatype="130" unbalanced="0"/>
    <cacheHierarchy uniqueName="[Measures].[Sum of Inventory_Value]" caption="Sum of Inventory_Value" measure="1" displayFolder="" measureGroup="tbl_Inventory_Status" count="0" oneField="1">
      <fieldsUsage count="1">
        <fieldUsage x="1"/>
      </fieldsUsage>
      <extLst>
        <ext xmlns:x15="http://schemas.microsoft.com/office/spreadsheetml/2010/11/main" uri="{B97F6D7D-B522-45F9-BDA1-12C45D357490}">
          <x15:cacheHierarchy aggregatedColumn="9"/>
        </ext>
      </extLst>
    </cacheHierarchy>
    <cacheHierarchy uniqueName="[Measures].[Sum of Avg_Daily_Demand]" caption="Sum of Avg_Daily_Demand" measure="1" displayFolder="" measureGroup="tbl_Demand_Analysis" count="0">
      <extLst>
        <ext xmlns:x15="http://schemas.microsoft.com/office/spreadsheetml/2010/11/main" uri="{B97F6D7D-B522-45F9-BDA1-12C45D357490}">
          <x15:cacheHierarchy aggregatedColumn="1"/>
        </ext>
      </extLst>
    </cacheHierarchy>
    <cacheHierarchy uniqueName="[Measures].[Sum of Unit_Cost]" caption="Sum of Unit_Cost" measure="1" displayFolder="" measureGroup="tbl_Inventory_Status" count="0">
      <extLst>
        <ext xmlns:x15="http://schemas.microsoft.com/office/spreadsheetml/2010/11/main" uri="{B97F6D7D-B522-45F9-BDA1-12C45D357490}">
          <x15:cacheHierarchy aggregatedColumn="8"/>
        </ext>
      </extLst>
    </cacheHierarchy>
    <cacheHierarchy uniqueName="[Measures].[Sum of Reorder_flag]" caption="Sum of Reorder_flag" measure="1" displayFolder="" measureGroup="tbl_Reorder_Optimization" count="0">
      <extLst>
        <ext xmlns:x15="http://schemas.microsoft.com/office/spreadsheetml/2010/11/main" uri="{B97F6D7D-B522-45F9-BDA1-12C45D357490}">
          <x15:cacheHierarchy aggregatedColumn="28"/>
        </ext>
      </extLst>
    </cacheHierarchy>
    <cacheHierarchy uniqueName="[Measures].[Count of Avg_Daily_Demand]" caption="Count of Avg_Daily_Demand" measure="1" displayFolder="" measureGroup="tbl_Demand_Analysis" count="0">
      <extLst>
        <ext xmlns:x15="http://schemas.microsoft.com/office/spreadsheetml/2010/11/main" uri="{B97F6D7D-B522-45F9-BDA1-12C45D357490}">
          <x15:cacheHierarchy aggregatedColumn="1"/>
        </ext>
      </extLst>
    </cacheHierarchy>
    <cacheHierarchy uniqueName="[Measures].[Sum of Current_Stock]" caption="Sum of Current_Stock" measure="1" displayFolder="" measureGroup="tbl_Reorder_Optimization" count="0">
      <extLst>
        <ext xmlns:x15="http://schemas.microsoft.com/office/spreadsheetml/2010/11/main" uri="{B97F6D7D-B522-45F9-BDA1-12C45D357490}">
          <x15:cacheHierarchy aggregatedColumn="25"/>
        </ext>
      </extLst>
    </cacheHierarchy>
    <cacheHierarchy uniqueName="[Measures].[Sum of Reorder_Point]" caption="Sum of Reorder_Point" measure="1" displayFolder="" measureGroup="tbl_Reorder_Optimization" count="0">
      <extLst>
        <ext xmlns:x15="http://schemas.microsoft.com/office/spreadsheetml/2010/11/main" uri="{B97F6D7D-B522-45F9-BDA1-12C45D357490}">
          <x15:cacheHierarchy aggregatedColumn="24"/>
        </ext>
      </extLst>
    </cacheHierarchy>
    <cacheHierarchy uniqueName="[Measures].[Sum of Avg_Daily_Demand 2]" caption="Sum of Avg_Daily_Demand 2" measure="1" displayFolder="" measureGroup="tbl_Reorder_Optimization" count="0">
      <extLst>
        <ext xmlns:x15="http://schemas.microsoft.com/office/spreadsheetml/2010/11/main" uri="{B97F6D7D-B522-45F9-BDA1-12C45D357490}">
          <x15:cacheHierarchy aggregatedColumn="21"/>
        </ext>
      </extLst>
    </cacheHierarchy>
    <cacheHierarchy uniqueName="[Measures].[Sum of Unit_Cost 2]" caption="Sum of Unit_Cost 2" measure="1" displayFolder="" measureGroup="tbl_Products" count="0">
      <extLst>
        <ext xmlns:x15="http://schemas.microsoft.com/office/spreadsheetml/2010/11/main" uri="{B97F6D7D-B522-45F9-BDA1-12C45D357490}">
          <x15:cacheHierarchy aggregatedColumn="15"/>
        </ext>
      </extLst>
    </cacheHierarchy>
    <cacheHierarchy uniqueName="[Measures].[Average of Avg_Daily_Demand]" caption="Average of Avg_Daily_Demand" measure="1" displayFolder="" measureGroup="tbl_Reorder_Optimization" count="0">
      <extLst>
        <ext xmlns:x15="http://schemas.microsoft.com/office/spreadsheetml/2010/11/main" uri="{B97F6D7D-B522-45F9-BDA1-12C45D357490}">
          <x15:cacheHierarchy aggregatedColumn="21"/>
        </ext>
      </extLst>
    </cacheHierarchy>
    <cacheHierarchy uniqueName="[Measures].[Average of Unit_Cost]" caption="Average of Unit_Cost" measure="1" displayFolder="" measureGroup="tbl_Products" count="0">
      <extLst>
        <ext xmlns:x15="http://schemas.microsoft.com/office/spreadsheetml/2010/11/main" uri="{B97F6D7D-B522-45F9-BDA1-12C45D357490}">
          <x15:cacheHierarchy aggregatedColumn="15"/>
        </ext>
      </extLst>
    </cacheHierarchy>
    <cacheHierarchy uniqueName="[Measures].[Count of Action]" caption="Count of Action" measure="1" displayFolder="" measureGroup="tbl_Reorder_Optimization" count="0">
      <extLst>
        <ext xmlns:x15="http://schemas.microsoft.com/office/spreadsheetml/2010/11/main" uri="{B97F6D7D-B522-45F9-BDA1-12C45D357490}">
          <x15:cacheHierarchy aggregatedColumn="27"/>
        </ext>
      </extLst>
    </cacheHierarchy>
    <cacheHierarchy uniqueName="[Measures].[Count of Reorder_flag]" caption="Count of Reorder_flag" measure="1" displayFolder="" measureGroup="tbl_Reorder_Optimization" count="0">
      <extLst>
        <ext xmlns:x15="http://schemas.microsoft.com/office/spreadsheetml/2010/11/main" uri="{B97F6D7D-B522-45F9-BDA1-12C45D357490}">
          <x15:cacheHierarchy aggregatedColumn="28"/>
        </ext>
      </extLst>
    </cacheHierarchy>
    <cacheHierarchy uniqueName="[Measures].[Average of Unit_Cost 2]" caption="Average of Unit_Cost 2" measure="1" displayFolder="" measureGroup="tbl_Inventory_Status" count="0">
      <extLst>
        <ext xmlns:x15="http://schemas.microsoft.com/office/spreadsheetml/2010/11/main" uri="{B97F6D7D-B522-45F9-BDA1-12C45D357490}">
          <x15:cacheHierarchy aggregatedColumn="8"/>
        </ext>
      </extLst>
    </cacheHierarchy>
    <cacheHierarchy uniqueName="[Measures].[Inventory Gap measure]" caption="Inventory Gap measure" measure="1" displayFolder="" measureGroup="tbl_Products" count="0"/>
    <cacheHierarchy uniqueName="[Measures].[__XL_Count tbl_Products]" caption="__XL_Count tbl_Products" measure="1" displayFolder="" measureGroup="tbl_Products" count="0" hidden="1"/>
    <cacheHierarchy uniqueName="[Measures].[__XL_Count tbl_Transactions]" caption="__XL_Count tbl_Transactions" measure="1" displayFolder="" measureGroup="tbl_Transactions" count="0" hidden="1"/>
    <cacheHierarchy uniqueName="[Measures].[__XL_Count tbl_Inventory_Status]" caption="__XL_Count tbl_Inventory_Status" measure="1" displayFolder="" measureGroup="tbl_Inventory_Status" count="0" hidden="1"/>
    <cacheHierarchy uniqueName="[Measures].[__XL_Count tbl_Demand_Analysis]" caption="__XL_Count tbl_Demand_Analysis" measure="1" displayFolder="" measureGroup="tbl_Demand_Analysis" count="0" hidden="1"/>
    <cacheHierarchy uniqueName="[Measures].[__XL_Count tbl_Reorder_Optimization]" caption="__XL_Count tbl_Reorder_Optimization" measure="1" displayFolder="" measureGroup="tbl_Reorder_Optimization" count="0" hidden="1"/>
    <cacheHierarchy uniqueName="[Measures].[__No measures defined]" caption="__No measures defined" measure="1" displayFolder="" count="0" hidden="1"/>
  </cacheHierarchies>
  <kpis count="0"/>
  <dimensions count="6">
    <dimension measure="1" name="Measures" uniqueName="[Measures]" caption="Measures"/>
    <dimension name="tbl_Demand_Analysis" uniqueName="[tbl_Demand_Analysis]" caption="tbl_Demand_Analysis"/>
    <dimension name="tbl_Inventory_Status" uniqueName="[tbl_Inventory_Status]" caption="tbl_Inventory_Status"/>
    <dimension name="tbl_Products" uniqueName="[tbl_Products]" caption="tbl_Products"/>
    <dimension name="tbl_Reorder_Optimization" uniqueName="[tbl_Reorder_Optimization]" caption="tbl_Reorder_Optimization"/>
    <dimension name="tbl_Transactions" uniqueName="[tbl_Transactions]" caption="tbl_Transactions"/>
  </dimensions>
  <measureGroups count="5">
    <measureGroup name="tbl_Demand_Analysis" caption="tbl_Demand_Analysis"/>
    <measureGroup name="tbl_Inventory_Status" caption="tbl_Inventory_Status"/>
    <measureGroup name="tbl_Products" caption="tbl_Products"/>
    <measureGroup name="tbl_Reorder_Optimization" caption="tbl_Reorder_Optimization"/>
    <measureGroup name="tbl_Transactions" caption="tbl_Transactions"/>
  </measureGroups>
  <maps count="8">
    <map measureGroup="0" dimension="1"/>
    <map measureGroup="0" dimension="3"/>
    <map measureGroup="1" dimension="2"/>
    <map measureGroup="1" dimension="3"/>
    <map measureGroup="2" dimension="3"/>
    <map measureGroup="3" dimension="3"/>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gourav jatav" refreshedDate="46016.500137499999" backgroundQuery="1" createdVersion="8" refreshedVersion="8" minRefreshableVersion="3" recordCount="0" supportSubquery="1" supportAdvancedDrill="1" xr:uid="{D79D35FD-BBA9-4935-83CA-C6CB08EE036F}">
  <cacheSource type="external" connectionId="1"/>
  <cacheFields count="3">
    <cacheField name="[Measures].[Sum of Current_Stock]" caption="Sum of Current_Stock" numFmtId="0" hierarchy="40" level="32767"/>
    <cacheField name="[Measures].[Sum of Reorder_Point]" caption="Sum of Reorder_Point" numFmtId="0" hierarchy="41" level="32767"/>
    <cacheField name="[tbl_Products].[Category].[Category]" caption="Category" numFmtId="0" hierarchy="13" level="1">
      <sharedItems count="7">
        <s v="Bakery"/>
        <s v="Beverages"/>
        <s v="Dairy"/>
        <s v="Fruits"/>
        <s v="Grains"/>
        <s v="Oils"/>
        <s v="Seafood"/>
      </sharedItems>
    </cacheField>
  </cacheFields>
  <cacheHierarchies count="56">
    <cacheHierarchy uniqueName="[tbl_Demand_Analysis].[Product_ID]" caption="Product_ID" attribute="1" defaultMemberUniqueName="[tbl_Demand_Analysis].[Product_ID].[All]" allUniqueName="[tbl_Demand_Analysis].[Product_ID].[All]" dimensionUniqueName="[tbl_Demand_Analysis]" displayFolder="" count="0" memberValueDatatype="130" unbalanced="0"/>
    <cacheHierarchy uniqueName="[tbl_Demand_Analysis].[Avg_Daily_Demand]" caption="Avg_Daily_Demand" attribute="1" defaultMemberUniqueName="[tbl_Demand_Analysis].[Avg_Daily_Demand].[All]" allUniqueName="[tbl_Demand_Analysis].[Avg_Daily_Demand].[All]" dimensionUniqueName="[tbl_Demand_Analysis]" displayFolder="" count="0" memberValueDatatype="5" unbalanced="0"/>
    <cacheHierarchy uniqueName="[tbl_Demand_Analysis].[Monthly_Demand]" caption="Monthly_Demand" attribute="1" defaultMemberUniqueName="[tbl_Demand_Analysis].[Monthly_Demand].[All]" allUniqueName="[tbl_Demand_Analysis].[Monthly_Demand].[All]" dimensionUniqueName="[tbl_Demand_Analysis]" displayFolder="" count="0" memberValueDatatype="5" unbalanced="0"/>
    <cacheHierarchy uniqueName="[tbl_Demand_Analysis].[Max_Daily_Demand]" caption="Max_Daily_Demand" attribute="1" defaultMemberUniqueName="[tbl_Demand_Analysis].[Max_Daily_Demand].[All]" allUniqueName="[tbl_Demand_Analysis].[Max_Daily_Demand].[All]" dimensionUniqueName="[tbl_Demand_Analysis]" displayFolder="" count="0" memberValueDatatype="20" unbalanced="0"/>
    <cacheHierarchy uniqueName="[tbl_Inventory_Status].[Product_ID]" caption="Product_ID" attribute="1" defaultMemberUniqueName="[tbl_Inventory_Status].[Product_ID].[All]" allUniqueName="[tbl_Inventory_Status].[Product_ID].[All]" dimensionUniqueName="[tbl_Inventory_Status]" displayFolder="" count="0" memberValueDatatype="130" unbalanced="0"/>
    <cacheHierarchy uniqueName="[tbl_Inventory_Status].[Product_Name]" caption="Product_Name" attribute="1" defaultMemberUniqueName="[tbl_Inventory_Status].[Product_Name].[All]" allUniqueName="[tbl_Inventory_Status].[Product_Name].[All]" dimensionUniqueName="[tbl_Inventory_Status]" displayFolder="" count="0" memberValueDatatype="130" unbalanced="0"/>
    <cacheHierarchy uniqueName="[tbl_Inventory_Status].[Category]" caption="Category" attribute="1" defaultMemberUniqueName="[tbl_Inventory_Status].[Category].[All]" allUniqueName="[tbl_Inventory_Status].[Category].[All]" dimensionUniqueName="[tbl_Inventory_Status]" displayFolder="" count="0" memberValueDatatype="130" unbalanced="0"/>
    <cacheHierarchy uniqueName="[tbl_Inventory_Status].[Current_Stock]" caption="Current_Stock" attribute="1" defaultMemberUniqueName="[tbl_Inventory_Status].[Current_Stock].[All]" allUniqueName="[tbl_Inventory_Status].[Current_Stock].[All]" dimensionUniqueName="[tbl_Inventory_Status]" displayFolder="" count="0" memberValueDatatype="20" unbalanced="0"/>
    <cacheHierarchy uniqueName="[tbl_Inventory_Status].[Unit_Cost]" caption="Unit_Cost" attribute="1" defaultMemberUniqueName="[tbl_Inventory_Status].[Unit_Cost].[All]" allUniqueName="[tbl_Inventory_Status].[Unit_Cost].[All]" dimensionUniqueName="[tbl_Inventory_Status]" displayFolder="" count="0" memberValueDatatype="5" unbalanced="0"/>
    <cacheHierarchy uniqueName="[tbl_Inventory_Status].[Inventory_Value]" caption="Inventory_Value" attribute="1" defaultMemberUniqueName="[tbl_Inventory_Status].[Inventory_Value].[All]" allUniqueName="[tbl_Inventory_Status].[Inventory_Value].[All]" dimensionUniqueName="[tbl_Inventory_Status]" displayFolder="" count="0" memberValueDatatype="5" unbalanced="0"/>
    <cacheHierarchy uniqueName="[tbl_Inventory_Status].[Stock_Status]" caption="Stock_Status" attribute="1" defaultMemberUniqueName="[tbl_Inventory_Status].[Stock_Status].[All]" allUniqueName="[tbl_Inventory_Status].[Stock_Status].[All]" dimensionUniqueName="[tbl_Inventory_Status]" displayFolder="" count="0" memberValueDatatype="130" unbalanced="0"/>
    <cacheHierarchy uniqueName="[tbl_Products].[Product_ID]" caption="Product_ID" attribute="1" defaultMemberUniqueName="[tbl_Products].[Product_ID].[All]" allUniqueName="[tbl_Products].[Product_ID].[All]" dimensionUniqueName="[tbl_Products]" displayFolder="" count="0" memberValueDatatype="130" unbalanced="0"/>
    <cacheHierarchy uniqueName="[tbl_Products].[Product_Name_]" caption="Product_Name_" attribute="1" defaultMemberUniqueName="[tbl_Products].[Product_Name_].[All]" allUniqueName="[tbl_Products].[Product_Name_].[All]" dimensionUniqueName="[tbl_Products]" displayFolder="" count="0" memberValueDatatype="130" unbalanced="0"/>
    <cacheHierarchy uniqueName="[tbl_Products].[Category]" caption="Category" attribute="1" defaultMemberUniqueName="[tbl_Products].[Category].[All]" allUniqueName="[tbl_Products].[Category].[All]" dimensionUniqueName="[tbl_Products]" displayFolder="" count="2" memberValueDatatype="130" unbalanced="0">
      <fieldsUsage count="2">
        <fieldUsage x="-1"/>
        <fieldUsage x="2"/>
      </fieldsUsage>
    </cacheHierarchy>
    <cacheHierarchy uniqueName="[tbl_Products].[Supplier_Name]" caption="Supplier_Name" attribute="1" defaultMemberUniqueName="[tbl_Products].[Supplier_Name].[All]" allUniqueName="[tbl_Products].[Supplier_Name].[All]" dimensionUniqueName="[tbl_Products]" displayFolder="" count="0" memberValueDatatype="130" unbalanced="0"/>
    <cacheHierarchy uniqueName="[tbl_Products].[Unit_Cost]" caption="Unit_Cost" attribute="1" defaultMemberUniqueName="[tbl_Products].[Unit_Cost].[All]" allUniqueName="[tbl_Products].[Unit_Cost].[All]" dimensionUniqueName="[tbl_Products]" displayFolder="" count="0" memberValueDatatype="5" unbalanced="0"/>
    <cacheHierarchy uniqueName="[tbl_Products].[Lead_Time_(Days)]" caption="Lead_Time_(Days)" attribute="1" defaultMemberUniqueName="[tbl_Products].[Lead_Time_(Days)].[All]" allUniqueName="[tbl_Products].[Lead_Time_(Days)].[All]" dimensionUniqueName="[tbl_Products]" displayFolder="" count="0" memberValueDatatype="20" unbalanced="0"/>
    <cacheHierarchy uniqueName="[tbl_Products].[Minimum_Order_Quantity(MOQ)]" caption="Minimum_Order_Quantity(MOQ)" attribute="1" defaultMemberUniqueName="[tbl_Products].[Minimum_Order_Quantity(MOQ)].[All]" allUniqueName="[tbl_Products].[Minimum_Order_Quantity(MOQ)].[All]" dimensionUniqueName="[tbl_Products]" displayFolder="" count="0" memberValueDatatype="20" unbalanced="0"/>
    <cacheHierarchy uniqueName="[tbl_Products].[Holding_Cost_per_Unit(Monthly)]" caption="Holding_Cost_per_Unit(Monthly)" attribute="1" defaultMemberUniqueName="[tbl_Products].[Holding_Cost_per_Unit(Monthly)].[All]" allUniqueName="[tbl_Products].[Holding_Cost_per_Unit(Monthly)].[All]" dimensionUniqueName="[tbl_Products]" displayFolder="" count="0" memberValueDatatype="5" unbalanced="0"/>
    <cacheHierarchy uniqueName="[tbl_Products].[Order_Cost_per_Unit]" caption="Order_Cost_per_Unit" attribute="1" defaultMemberUniqueName="[tbl_Products].[Order_Cost_per_Unit].[All]" allUniqueName="[tbl_Products].[Order_Cost_per_Unit].[All]" dimensionUniqueName="[tbl_Products]" displayFolder="" count="0" memberValueDatatype="20" unbalanced="0"/>
    <cacheHierarchy uniqueName="[tbl_Reorder_Optimization].[Product_ID]" caption="Product_ID" attribute="1" defaultMemberUniqueName="[tbl_Reorder_Optimization].[Product_ID].[All]" allUniqueName="[tbl_Reorder_Optimization].[Product_ID].[All]" dimensionUniqueName="[tbl_Reorder_Optimization]" displayFolder="" count="0" memberValueDatatype="130" unbalanced="0"/>
    <cacheHierarchy uniqueName="[tbl_Reorder_Optimization].[Avg_Daily_Demand]" caption="Avg_Daily_Demand" attribute="1" defaultMemberUniqueName="[tbl_Reorder_Optimization].[Avg_Daily_Demand].[All]" allUniqueName="[tbl_Reorder_Optimization].[Avg_Daily_Demand].[All]" dimensionUniqueName="[tbl_Reorder_Optimization]" displayFolder="" count="0" memberValueDatatype="5" unbalanced="0"/>
    <cacheHierarchy uniqueName="[tbl_Reorder_Optimization].[Lead_Time]" caption="Lead_Time" attribute="1" defaultMemberUniqueName="[tbl_Reorder_Optimization].[Lead_Time].[All]" allUniqueName="[tbl_Reorder_Optimization].[Lead_Time].[All]" dimensionUniqueName="[tbl_Reorder_Optimization]" displayFolder="" count="0" memberValueDatatype="20" unbalanced="0"/>
    <cacheHierarchy uniqueName="[tbl_Reorder_Optimization].[Safety_Stock]" caption="Safety_Stock" attribute="1" defaultMemberUniqueName="[tbl_Reorder_Optimization].[Safety_Stock].[All]" allUniqueName="[tbl_Reorder_Optimization].[Safety_Stock].[All]" dimensionUniqueName="[tbl_Reorder_Optimization]" displayFolder="" count="0" memberValueDatatype="5" unbalanced="0"/>
    <cacheHierarchy uniqueName="[tbl_Reorder_Optimization].[Reorder_Point]" caption="Reorder_Point" attribute="1" defaultMemberUniqueName="[tbl_Reorder_Optimization].[Reorder_Point].[All]" allUniqueName="[tbl_Reorder_Optimization].[Reorder_Point].[All]" dimensionUniqueName="[tbl_Reorder_Optimization]" displayFolder="" count="0" memberValueDatatype="20" unbalanced="0"/>
    <cacheHierarchy uniqueName="[tbl_Reorder_Optimization].[Current_Stock]" caption="Current_Stock" attribute="1" defaultMemberUniqueName="[tbl_Reorder_Optimization].[Current_Stock].[All]" allUniqueName="[tbl_Reorder_Optimization].[Current_Stock].[All]" dimensionUniqueName="[tbl_Reorder_Optimization]" displayFolder="" count="0" memberValueDatatype="20" unbalanced="0"/>
    <cacheHierarchy uniqueName="[tbl_Reorder_Optimization].[EOQ]" caption="EOQ" attribute="1" defaultMemberUniqueName="[tbl_Reorder_Optimization].[EOQ].[All]" allUniqueName="[tbl_Reorder_Optimization].[EOQ].[All]" dimensionUniqueName="[tbl_Reorder_Optimization]" displayFolder="" count="0" memberValueDatatype="5" unbalanced="0"/>
    <cacheHierarchy uniqueName="[tbl_Reorder_Optimization].[Action]" caption="Action" attribute="1" defaultMemberUniqueName="[tbl_Reorder_Optimization].[Action].[All]" allUniqueName="[tbl_Reorder_Optimization].[Action].[All]" dimensionUniqueName="[tbl_Reorder_Optimization]" displayFolder="" count="0" memberValueDatatype="130" unbalanced="0"/>
    <cacheHierarchy uniqueName="[tbl_Reorder_Optimization].[Reorder_flag]" caption="Reorder_flag" attribute="1" defaultMemberUniqueName="[tbl_Reorder_Optimization].[Reorder_flag].[All]" allUniqueName="[tbl_Reorder_Optimization].[Reorder_flag].[All]" dimensionUniqueName="[tbl_Reorder_Optimization]" displayFolder="" count="0" memberValueDatatype="20" unbalanced="0"/>
    <cacheHierarchy uniqueName="[tbl_Transactions].[Transaction_ID]" caption="Transaction_ID" attribute="1" defaultMemberUniqueName="[tbl_Transactions].[Transaction_ID].[All]" allUniqueName="[tbl_Transactions].[Transaction_ID].[All]" dimensionUniqueName="[tbl_Transactions]" displayFolder="" count="0" memberValueDatatype="130" unbalanced="0"/>
    <cacheHierarchy uniqueName="[tbl_Transactions].[Transaction Date]" caption="Transaction Date" attribute="1" time="1" defaultMemberUniqueName="[tbl_Transactions].[Transaction Date].[All]" allUniqueName="[tbl_Transactions].[Transaction Date].[All]" dimensionUniqueName="[tbl_Transactions]" displayFolder="" count="0" memberValueDatatype="7" unbalanced="0"/>
    <cacheHierarchy uniqueName="[tbl_Transactions].[Product ID]" caption="Product ID" attribute="1" defaultMemberUniqueName="[tbl_Transactions].[Product ID].[All]" allUniqueName="[tbl_Transactions].[Product ID].[All]" dimensionUniqueName="[tbl_Transactions]" displayFolder="" count="0" memberValueDatatype="130" unbalanced="0"/>
    <cacheHierarchy uniqueName="[tbl_Transactions].[Transaction Type]" caption="Transaction Type" attribute="1" defaultMemberUniqueName="[tbl_Transactions].[Transaction Type].[All]" allUniqueName="[tbl_Transactions].[Transaction Type].[All]" dimensionUniqueName="[tbl_Transactions]" displayFolder="" count="0" memberValueDatatype="130" unbalanced="0"/>
    <cacheHierarchy uniqueName="[tbl_Transactions].[Quantity]" caption="Quantity" attribute="1" defaultMemberUniqueName="[tbl_Transactions].[Quantity].[All]" allUniqueName="[tbl_Transactions].[Quantity].[All]" dimensionUniqueName="[tbl_Transactions]" displayFolder="" count="0" memberValueDatatype="20" unbalanced="0"/>
    <cacheHierarchy uniqueName="[tbl_Transactions].[Location]" caption="Location" attribute="1" defaultMemberUniqueName="[tbl_Transactions].[Location].[All]" allUniqueName="[tbl_Transactions].[Location].[All]" dimensionUniqueName="[tbl_Transactions]" displayFolder="" count="0" memberValueDatatype="130" unbalanced="0"/>
    <cacheHierarchy uniqueName="[Measures].[Sum of Inventory_Value]" caption="Sum of Inventory_Value" measure="1" displayFolder="" measureGroup="tbl_Inventory_Status" count="0">
      <extLst>
        <ext xmlns:x15="http://schemas.microsoft.com/office/spreadsheetml/2010/11/main" uri="{B97F6D7D-B522-45F9-BDA1-12C45D357490}">
          <x15:cacheHierarchy aggregatedColumn="9"/>
        </ext>
      </extLst>
    </cacheHierarchy>
    <cacheHierarchy uniqueName="[Measures].[Sum of Avg_Daily_Demand]" caption="Sum of Avg_Daily_Demand" measure="1" displayFolder="" measureGroup="tbl_Demand_Analysis" count="0">
      <extLst>
        <ext xmlns:x15="http://schemas.microsoft.com/office/spreadsheetml/2010/11/main" uri="{B97F6D7D-B522-45F9-BDA1-12C45D357490}">
          <x15:cacheHierarchy aggregatedColumn="1"/>
        </ext>
      </extLst>
    </cacheHierarchy>
    <cacheHierarchy uniqueName="[Measures].[Sum of Unit_Cost]" caption="Sum of Unit_Cost" measure="1" displayFolder="" measureGroup="tbl_Inventory_Status" count="0">
      <extLst>
        <ext xmlns:x15="http://schemas.microsoft.com/office/spreadsheetml/2010/11/main" uri="{B97F6D7D-B522-45F9-BDA1-12C45D357490}">
          <x15:cacheHierarchy aggregatedColumn="8"/>
        </ext>
      </extLst>
    </cacheHierarchy>
    <cacheHierarchy uniqueName="[Measures].[Sum of Reorder_flag]" caption="Sum of Reorder_flag" measure="1" displayFolder="" measureGroup="tbl_Reorder_Optimization" count="0">
      <extLst>
        <ext xmlns:x15="http://schemas.microsoft.com/office/spreadsheetml/2010/11/main" uri="{B97F6D7D-B522-45F9-BDA1-12C45D357490}">
          <x15:cacheHierarchy aggregatedColumn="28"/>
        </ext>
      </extLst>
    </cacheHierarchy>
    <cacheHierarchy uniqueName="[Measures].[Count of Avg_Daily_Demand]" caption="Count of Avg_Daily_Demand" measure="1" displayFolder="" measureGroup="tbl_Demand_Analysis" count="0">
      <extLst>
        <ext xmlns:x15="http://schemas.microsoft.com/office/spreadsheetml/2010/11/main" uri="{B97F6D7D-B522-45F9-BDA1-12C45D357490}">
          <x15:cacheHierarchy aggregatedColumn="1"/>
        </ext>
      </extLst>
    </cacheHierarchy>
    <cacheHierarchy uniqueName="[Measures].[Sum of Current_Stock]" caption="Sum of Current_Stock" measure="1" displayFolder="" measureGroup="tbl_Reorder_Optimization" count="0" oneField="1">
      <fieldsUsage count="1">
        <fieldUsage x="0"/>
      </fieldsUsage>
      <extLst>
        <ext xmlns:x15="http://schemas.microsoft.com/office/spreadsheetml/2010/11/main" uri="{B97F6D7D-B522-45F9-BDA1-12C45D357490}">
          <x15:cacheHierarchy aggregatedColumn="25"/>
        </ext>
      </extLst>
    </cacheHierarchy>
    <cacheHierarchy uniqueName="[Measures].[Sum of Reorder_Point]" caption="Sum of Reorder_Point" measure="1" displayFolder="" measureGroup="tbl_Reorder_Optimization" count="0" oneField="1">
      <fieldsUsage count="1">
        <fieldUsage x="1"/>
      </fieldsUsage>
      <extLst>
        <ext xmlns:x15="http://schemas.microsoft.com/office/spreadsheetml/2010/11/main" uri="{B97F6D7D-B522-45F9-BDA1-12C45D357490}">
          <x15:cacheHierarchy aggregatedColumn="24"/>
        </ext>
      </extLst>
    </cacheHierarchy>
    <cacheHierarchy uniqueName="[Measures].[Sum of Avg_Daily_Demand 2]" caption="Sum of Avg_Daily_Demand 2" measure="1" displayFolder="" measureGroup="tbl_Reorder_Optimization" count="0">
      <extLst>
        <ext xmlns:x15="http://schemas.microsoft.com/office/spreadsheetml/2010/11/main" uri="{B97F6D7D-B522-45F9-BDA1-12C45D357490}">
          <x15:cacheHierarchy aggregatedColumn="21"/>
        </ext>
      </extLst>
    </cacheHierarchy>
    <cacheHierarchy uniqueName="[Measures].[Sum of Unit_Cost 2]" caption="Sum of Unit_Cost 2" measure="1" displayFolder="" measureGroup="tbl_Products" count="0">
      <extLst>
        <ext xmlns:x15="http://schemas.microsoft.com/office/spreadsheetml/2010/11/main" uri="{B97F6D7D-B522-45F9-BDA1-12C45D357490}">
          <x15:cacheHierarchy aggregatedColumn="15"/>
        </ext>
      </extLst>
    </cacheHierarchy>
    <cacheHierarchy uniqueName="[Measures].[Average of Avg_Daily_Demand]" caption="Average of Avg_Daily_Demand" measure="1" displayFolder="" measureGroup="tbl_Reorder_Optimization" count="0">
      <extLst>
        <ext xmlns:x15="http://schemas.microsoft.com/office/spreadsheetml/2010/11/main" uri="{B97F6D7D-B522-45F9-BDA1-12C45D357490}">
          <x15:cacheHierarchy aggregatedColumn="21"/>
        </ext>
      </extLst>
    </cacheHierarchy>
    <cacheHierarchy uniqueName="[Measures].[Average of Unit_Cost]" caption="Average of Unit_Cost" measure="1" displayFolder="" measureGroup="tbl_Products" count="0">
      <extLst>
        <ext xmlns:x15="http://schemas.microsoft.com/office/spreadsheetml/2010/11/main" uri="{B97F6D7D-B522-45F9-BDA1-12C45D357490}">
          <x15:cacheHierarchy aggregatedColumn="15"/>
        </ext>
      </extLst>
    </cacheHierarchy>
    <cacheHierarchy uniqueName="[Measures].[Count of Action]" caption="Count of Action" measure="1" displayFolder="" measureGroup="tbl_Reorder_Optimization" count="0">
      <extLst>
        <ext xmlns:x15="http://schemas.microsoft.com/office/spreadsheetml/2010/11/main" uri="{B97F6D7D-B522-45F9-BDA1-12C45D357490}">
          <x15:cacheHierarchy aggregatedColumn="27"/>
        </ext>
      </extLst>
    </cacheHierarchy>
    <cacheHierarchy uniqueName="[Measures].[Count of Reorder_flag]" caption="Count of Reorder_flag" measure="1" displayFolder="" measureGroup="tbl_Reorder_Optimization" count="0">
      <extLst>
        <ext xmlns:x15="http://schemas.microsoft.com/office/spreadsheetml/2010/11/main" uri="{B97F6D7D-B522-45F9-BDA1-12C45D357490}">
          <x15:cacheHierarchy aggregatedColumn="28"/>
        </ext>
      </extLst>
    </cacheHierarchy>
    <cacheHierarchy uniqueName="[Measures].[Average of Unit_Cost 2]" caption="Average of Unit_Cost 2" measure="1" displayFolder="" measureGroup="tbl_Inventory_Status" count="0">
      <extLst>
        <ext xmlns:x15="http://schemas.microsoft.com/office/spreadsheetml/2010/11/main" uri="{B97F6D7D-B522-45F9-BDA1-12C45D357490}">
          <x15:cacheHierarchy aggregatedColumn="8"/>
        </ext>
      </extLst>
    </cacheHierarchy>
    <cacheHierarchy uniqueName="[Measures].[Inventory Gap measure]" caption="Inventory Gap measure" measure="1" displayFolder="" measureGroup="tbl_Products" count="0"/>
    <cacheHierarchy uniqueName="[Measures].[__XL_Count tbl_Products]" caption="__XL_Count tbl_Products" measure="1" displayFolder="" measureGroup="tbl_Products" count="0" hidden="1"/>
    <cacheHierarchy uniqueName="[Measures].[__XL_Count tbl_Transactions]" caption="__XL_Count tbl_Transactions" measure="1" displayFolder="" measureGroup="tbl_Transactions" count="0" hidden="1"/>
    <cacheHierarchy uniqueName="[Measures].[__XL_Count tbl_Inventory_Status]" caption="__XL_Count tbl_Inventory_Status" measure="1" displayFolder="" measureGroup="tbl_Inventory_Status" count="0" hidden="1"/>
    <cacheHierarchy uniqueName="[Measures].[__XL_Count tbl_Demand_Analysis]" caption="__XL_Count tbl_Demand_Analysis" measure="1" displayFolder="" measureGroup="tbl_Demand_Analysis" count="0" hidden="1"/>
    <cacheHierarchy uniqueName="[Measures].[__XL_Count tbl_Reorder_Optimization]" caption="__XL_Count tbl_Reorder_Optimization" measure="1" displayFolder="" measureGroup="tbl_Reorder_Optimization" count="0" hidden="1"/>
    <cacheHierarchy uniqueName="[Measures].[__No measures defined]" caption="__No measures defined" measure="1" displayFolder="" count="0" hidden="1"/>
  </cacheHierarchies>
  <kpis count="0"/>
  <dimensions count="6">
    <dimension measure="1" name="Measures" uniqueName="[Measures]" caption="Measures"/>
    <dimension name="tbl_Demand_Analysis" uniqueName="[tbl_Demand_Analysis]" caption="tbl_Demand_Analysis"/>
    <dimension name="tbl_Inventory_Status" uniqueName="[tbl_Inventory_Status]" caption="tbl_Inventory_Status"/>
    <dimension name="tbl_Products" uniqueName="[tbl_Products]" caption="tbl_Products"/>
    <dimension name="tbl_Reorder_Optimization" uniqueName="[tbl_Reorder_Optimization]" caption="tbl_Reorder_Optimization"/>
    <dimension name="tbl_Transactions" uniqueName="[tbl_Transactions]" caption="tbl_Transactions"/>
  </dimensions>
  <measureGroups count="5">
    <measureGroup name="tbl_Demand_Analysis" caption="tbl_Demand_Analysis"/>
    <measureGroup name="tbl_Inventory_Status" caption="tbl_Inventory_Status"/>
    <measureGroup name="tbl_Products" caption="tbl_Products"/>
    <measureGroup name="tbl_Reorder_Optimization" caption="tbl_Reorder_Optimization"/>
    <measureGroup name="tbl_Transactions" caption="tbl_Transactions"/>
  </measureGroups>
  <maps count="8">
    <map measureGroup="0" dimension="1"/>
    <map measureGroup="0" dimension="3"/>
    <map measureGroup="1" dimension="2"/>
    <map measureGroup="1" dimension="3"/>
    <map measureGroup="2" dimension="3"/>
    <map measureGroup="3" dimension="3"/>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gourav jatav" refreshedDate="46016.500137847223" backgroundQuery="1" createdVersion="8" refreshedVersion="8" minRefreshableVersion="3" recordCount="0" supportSubquery="1" supportAdvancedDrill="1" xr:uid="{B812CCAE-141D-4F81-A0B2-E5C095828688}">
  <cacheSource type="external" connectionId="1"/>
  <cacheFields count="3">
    <cacheField name="[tbl_Reorder_Optimization].[Action].[Action]" caption="Action" numFmtId="0" hierarchy="27" level="1">
      <sharedItems count="2">
        <s v="REORDER"/>
        <s v="SUFFICIENT_STOCK"/>
      </sharedItems>
    </cacheField>
    <cacheField name="[Measures].[Count of Reorder_flag]" caption="Count of Reorder_flag" numFmtId="0" hierarchy="47" level="32767"/>
    <cacheField name="[tbl_Products].[Category].[Category]" caption="Category" numFmtId="0" hierarchy="13" level="1">
      <sharedItems containsSemiMixedTypes="0" containsNonDate="0" containsString="0"/>
    </cacheField>
  </cacheFields>
  <cacheHierarchies count="56">
    <cacheHierarchy uniqueName="[tbl_Demand_Analysis].[Product_ID]" caption="Product_ID" attribute="1" defaultMemberUniqueName="[tbl_Demand_Analysis].[Product_ID].[All]" allUniqueName="[tbl_Demand_Analysis].[Product_ID].[All]" dimensionUniqueName="[tbl_Demand_Analysis]" displayFolder="" count="0" memberValueDatatype="130" unbalanced="0"/>
    <cacheHierarchy uniqueName="[tbl_Demand_Analysis].[Avg_Daily_Demand]" caption="Avg_Daily_Demand" attribute="1" defaultMemberUniqueName="[tbl_Demand_Analysis].[Avg_Daily_Demand].[All]" allUniqueName="[tbl_Demand_Analysis].[Avg_Daily_Demand].[All]" dimensionUniqueName="[tbl_Demand_Analysis]" displayFolder="" count="0" memberValueDatatype="5" unbalanced="0"/>
    <cacheHierarchy uniqueName="[tbl_Demand_Analysis].[Monthly_Demand]" caption="Monthly_Demand" attribute="1" defaultMemberUniqueName="[tbl_Demand_Analysis].[Monthly_Demand].[All]" allUniqueName="[tbl_Demand_Analysis].[Monthly_Demand].[All]" dimensionUniqueName="[tbl_Demand_Analysis]" displayFolder="" count="0" memberValueDatatype="5" unbalanced="0"/>
    <cacheHierarchy uniqueName="[tbl_Demand_Analysis].[Max_Daily_Demand]" caption="Max_Daily_Demand" attribute="1" defaultMemberUniqueName="[tbl_Demand_Analysis].[Max_Daily_Demand].[All]" allUniqueName="[tbl_Demand_Analysis].[Max_Daily_Demand].[All]" dimensionUniqueName="[tbl_Demand_Analysis]" displayFolder="" count="0" memberValueDatatype="20" unbalanced="0"/>
    <cacheHierarchy uniqueName="[tbl_Inventory_Status].[Product_ID]" caption="Product_ID" attribute="1" defaultMemberUniqueName="[tbl_Inventory_Status].[Product_ID].[All]" allUniqueName="[tbl_Inventory_Status].[Product_ID].[All]" dimensionUniqueName="[tbl_Inventory_Status]" displayFolder="" count="0" memberValueDatatype="130" unbalanced="0"/>
    <cacheHierarchy uniqueName="[tbl_Inventory_Status].[Product_Name]" caption="Product_Name" attribute="1" defaultMemberUniqueName="[tbl_Inventory_Status].[Product_Name].[All]" allUniqueName="[tbl_Inventory_Status].[Product_Name].[All]" dimensionUniqueName="[tbl_Inventory_Status]" displayFolder="" count="0" memberValueDatatype="130" unbalanced="0"/>
    <cacheHierarchy uniqueName="[tbl_Inventory_Status].[Category]" caption="Category" attribute="1" defaultMemberUniqueName="[tbl_Inventory_Status].[Category].[All]" allUniqueName="[tbl_Inventory_Status].[Category].[All]" dimensionUniqueName="[tbl_Inventory_Status]" displayFolder="" count="0" memberValueDatatype="130" unbalanced="0"/>
    <cacheHierarchy uniqueName="[tbl_Inventory_Status].[Current_Stock]" caption="Current_Stock" attribute="1" defaultMemberUniqueName="[tbl_Inventory_Status].[Current_Stock].[All]" allUniqueName="[tbl_Inventory_Status].[Current_Stock].[All]" dimensionUniqueName="[tbl_Inventory_Status]" displayFolder="" count="0" memberValueDatatype="20" unbalanced="0"/>
    <cacheHierarchy uniqueName="[tbl_Inventory_Status].[Unit_Cost]" caption="Unit_Cost" attribute="1" defaultMemberUniqueName="[tbl_Inventory_Status].[Unit_Cost].[All]" allUniqueName="[tbl_Inventory_Status].[Unit_Cost].[All]" dimensionUniqueName="[tbl_Inventory_Status]" displayFolder="" count="0" memberValueDatatype="5" unbalanced="0"/>
    <cacheHierarchy uniqueName="[tbl_Inventory_Status].[Inventory_Value]" caption="Inventory_Value" attribute="1" defaultMemberUniqueName="[tbl_Inventory_Status].[Inventory_Value].[All]" allUniqueName="[tbl_Inventory_Status].[Inventory_Value].[All]" dimensionUniqueName="[tbl_Inventory_Status]" displayFolder="" count="0" memberValueDatatype="5" unbalanced="0"/>
    <cacheHierarchy uniqueName="[tbl_Inventory_Status].[Stock_Status]" caption="Stock_Status" attribute="1" defaultMemberUniqueName="[tbl_Inventory_Status].[Stock_Status].[All]" allUniqueName="[tbl_Inventory_Status].[Stock_Status].[All]" dimensionUniqueName="[tbl_Inventory_Status]" displayFolder="" count="0" memberValueDatatype="130" unbalanced="0"/>
    <cacheHierarchy uniqueName="[tbl_Products].[Product_ID]" caption="Product_ID" attribute="1" defaultMemberUniqueName="[tbl_Products].[Product_ID].[All]" allUniqueName="[tbl_Products].[Product_ID].[All]" dimensionUniqueName="[tbl_Products]" displayFolder="" count="0" memberValueDatatype="130" unbalanced="0"/>
    <cacheHierarchy uniqueName="[tbl_Products].[Product_Name_]" caption="Product_Name_" attribute="1" defaultMemberUniqueName="[tbl_Products].[Product_Name_].[All]" allUniqueName="[tbl_Products].[Product_Name_].[All]" dimensionUniqueName="[tbl_Products]" displayFolder="" count="0" memberValueDatatype="130" unbalanced="0"/>
    <cacheHierarchy uniqueName="[tbl_Products].[Category]" caption="Category" attribute="1" defaultMemberUniqueName="[tbl_Products].[Category].[All]" allUniqueName="[tbl_Products].[Category].[All]" dimensionUniqueName="[tbl_Products]" displayFolder="" count="2" memberValueDatatype="130" unbalanced="0">
      <fieldsUsage count="2">
        <fieldUsage x="-1"/>
        <fieldUsage x="2"/>
      </fieldsUsage>
    </cacheHierarchy>
    <cacheHierarchy uniqueName="[tbl_Products].[Supplier_Name]" caption="Supplier_Name" attribute="1" defaultMemberUniqueName="[tbl_Products].[Supplier_Name].[All]" allUniqueName="[tbl_Products].[Supplier_Name].[All]" dimensionUniqueName="[tbl_Products]" displayFolder="" count="0" memberValueDatatype="130" unbalanced="0"/>
    <cacheHierarchy uniqueName="[tbl_Products].[Unit_Cost]" caption="Unit_Cost" attribute="1" defaultMemberUniqueName="[tbl_Products].[Unit_Cost].[All]" allUniqueName="[tbl_Products].[Unit_Cost].[All]" dimensionUniqueName="[tbl_Products]" displayFolder="" count="0" memberValueDatatype="5" unbalanced="0"/>
    <cacheHierarchy uniqueName="[tbl_Products].[Lead_Time_(Days)]" caption="Lead_Time_(Days)" attribute="1" defaultMemberUniqueName="[tbl_Products].[Lead_Time_(Days)].[All]" allUniqueName="[tbl_Products].[Lead_Time_(Days)].[All]" dimensionUniqueName="[tbl_Products]" displayFolder="" count="0" memberValueDatatype="20" unbalanced="0"/>
    <cacheHierarchy uniqueName="[tbl_Products].[Minimum_Order_Quantity(MOQ)]" caption="Minimum_Order_Quantity(MOQ)" attribute="1" defaultMemberUniqueName="[tbl_Products].[Minimum_Order_Quantity(MOQ)].[All]" allUniqueName="[tbl_Products].[Minimum_Order_Quantity(MOQ)].[All]" dimensionUniqueName="[tbl_Products]" displayFolder="" count="0" memberValueDatatype="20" unbalanced="0"/>
    <cacheHierarchy uniqueName="[tbl_Products].[Holding_Cost_per_Unit(Monthly)]" caption="Holding_Cost_per_Unit(Monthly)" attribute="1" defaultMemberUniqueName="[tbl_Products].[Holding_Cost_per_Unit(Monthly)].[All]" allUniqueName="[tbl_Products].[Holding_Cost_per_Unit(Monthly)].[All]" dimensionUniqueName="[tbl_Products]" displayFolder="" count="0" memberValueDatatype="5" unbalanced="0"/>
    <cacheHierarchy uniqueName="[tbl_Products].[Order_Cost_per_Unit]" caption="Order_Cost_per_Unit" attribute="1" defaultMemberUniqueName="[tbl_Products].[Order_Cost_per_Unit].[All]" allUniqueName="[tbl_Products].[Order_Cost_per_Unit].[All]" dimensionUniqueName="[tbl_Products]" displayFolder="" count="0" memberValueDatatype="20" unbalanced="0"/>
    <cacheHierarchy uniqueName="[tbl_Reorder_Optimization].[Product_ID]" caption="Product_ID" attribute="1" defaultMemberUniqueName="[tbl_Reorder_Optimization].[Product_ID].[All]" allUniqueName="[tbl_Reorder_Optimization].[Product_ID].[All]" dimensionUniqueName="[tbl_Reorder_Optimization]" displayFolder="" count="0" memberValueDatatype="130" unbalanced="0"/>
    <cacheHierarchy uniqueName="[tbl_Reorder_Optimization].[Avg_Daily_Demand]" caption="Avg_Daily_Demand" attribute="1" defaultMemberUniqueName="[tbl_Reorder_Optimization].[Avg_Daily_Demand].[All]" allUniqueName="[tbl_Reorder_Optimization].[Avg_Daily_Demand].[All]" dimensionUniqueName="[tbl_Reorder_Optimization]" displayFolder="" count="0" memberValueDatatype="5" unbalanced="0"/>
    <cacheHierarchy uniqueName="[tbl_Reorder_Optimization].[Lead_Time]" caption="Lead_Time" attribute="1" defaultMemberUniqueName="[tbl_Reorder_Optimization].[Lead_Time].[All]" allUniqueName="[tbl_Reorder_Optimization].[Lead_Time].[All]" dimensionUniqueName="[tbl_Reorder_Optimization]" displayFolder="" count="0" memberValueDatatype="20" unbalanced="0"/>
    <cacheHierarchy uniqueName="[tbl_Reorder_Optimization].[Safety_Stock]" caption="Safety_Stock" attribute="1" defaultMemberUniqueName="[tbl_Reorder_Optimization].[Safety_Stock].[All]" allUniqueName="[tbl_Reorder_Optimization].[Safety_Stock].[All]" dimensionUniqueName="[tbl_Reorder_Optimization]" displayFolder="" count="0" memberValueDatatype="5" unbalanced="0"/>
    <cacheHierarchy uniqueName="[tbl_Reorder_Optimization].[Reorder_Point]" caption="Reorder_Point" attribute="1" defaultMemberUniqueName="[tbl_Reorder_Optimization].[Reorder_Point].[All]" allUniqueName="[tbl_Reorder_Optimization].[Reorder_Point].[All]" dimensionUniqueName="[tbl_Reorder_Optimization]" displayFolder="" count="0" memberValueDatatype="20" unbalanced="0"/>
    <cacheHierarchy uniqueName="[tbl_Reorder_Optimization].[Current_Stock]" caption="Current_Stock" attribute="1" defaultMemberUniqueName="[tbl_Reorder_Optimization].[Current_Stock].[All]" allUniqueName="[tbl_Reorder_Optimization].[Current_Stock].[All]" dimensionUniqueName="[tbl_Reorder_Optimization]" displayFolder="" count="0" memberValueDatatype="20" unbalanced="0"/>
    <cacheHierarchy uniqueName="[tbl_Reorder_Optimization].[EOQ]" caption="EOQ" attribute="1" defaultMemberUniqueName="[tbl_Reorder_Optimization].[EOQ].[All]" allUniqueName="[tbl_Reorder_Optimization].[EOQ].[All]" dimensionUniqueName="[tbl_Reorder_Optimization]" displayFolder="" count="0" memberValueDatatype="5" unbalanced="0"/>
    <cacheHierarchy uniqueName="[tbl_Reorder_Optimization].[Action]" caption="Action" attribute="1" defaultMemberUniqueName="[tbl_Reorder_Optimization].[Action].[All]" allUniqueName="[tbl_Reorder_Optimization].[Action].[All]" dimensionUniqueName="[tbl_Reorder_Optimization]" displayFolder="" count="2" memberValueDatatype="130" unbalanced="0">
      <fieldsUsage count="2">
        <fieldUsage x="-1"/>
        <fieldUsage x="0"/>
      </fieldsUsage>
    </cacheHierarchy>
    <cacheHierarchy uniqueName="[tbl_Reorder_Optimization].[Reorder_flag]" caption="Reorder_flag" attribute="1" defaultMemberUniqueName="[tbl_Reorder_Optimization].[Reorder_flag].[All]" allUniqueName="[tbl_Reorder_Optimization].[Reorder_flag].[All]" dimensionUniqueName="[tbl_Reorder_Optimization]" displayFolder="" count="0" memberValueDatatype="20" unbalanced="0"/>
    <cacheHierarchy uniqueName="[tbl_Transactions].[Transaction_ID]" caption="Transaction_ID" attribute="1" defaultMemberUniqueName="[tbl_Transactions].[Transaction_ID].[All]" allUniqueName="[tbl_Transactions].[Transaction_ID].[All]" dimensionUniqueName="[tbl_Transactions]" displayFolder="" count="0" memberValueDatatype="130" unbalanced="0"/>
    <cacheHierarchy uniqueName="[tbl_Transactions].[Transaction Date]" caption="Transaction Date" attribute="1" time="1" defaultMemberUniqueName="[tbl_Transactions].[Transaction Date].[All]" allUniqueName="[tbl_Transactions].[Transaction Date].[All]" dimensionUniqueName="[tbl_Transactions]" displayFolder="" count="0" memberValueDatatype="7" unbalanced="0"/>
    <cacheHierarchy uniqueName="[tbl_Transactions].[Product ID]" caption="Product ID" attribute="1" defaultMemberUniqueName="[tbl_Transactions].[Product ID].[All]" allUniqueName="[tbl_Transactions].[Product ID].[All]" dimensionUniqueName="[tbl_Transactions]" displayFolder="" count="0" memberValueDatatype="130" unbalanced="0"/>
    <cacheHierarchy uniqueName="[tbl_Transactions].[Transaction Type]" caption="Transaction Type" attribute="1" defaultMemberUniqueName="[tbl_Transactions].[Transaction Type].[All]" allUniqueName="[tbl_Transactions].[Transaction Type].[All]" dimensionUniqueName="[tbl_Transactions]" displayFolder="" count="0" memberValueDatatype="130" unbalanced="0"/>
    <cacheHierarchy uniqueName="[tbl_Transactions].[Quantity]" caption="Quantity" attribute="1" defaultMemberUniqueName="[tbl_Transactions].[Quantity].[All]" allUniqueName="[tbl_Transactions].[Quantity].[All]" dimensionUniqueName="[tbl_Transactions]" displayFolder="" count="0" memberValueDatatype="20" unbalanced="0"/>
    <cacheHierarchy uniqueName="[tbl_Transactions].[Location]" caption="Location" attribute="1" defaultMemberUniqueName="[tbl_Transactions].[Location].[All]" allUniqueName="[tbl_Transactions].[Location].[All]" dimensionUniqueName="[tbl_Transactions]" displayFolder="" count="0" memberValueDatatype="130" unbalanced="0"/>
    <cacheHierarchy uniqueName="[Measures].[Sum of Inventory_Value]" caption="Sum of Inventory_Value" measure="1" displayFolder="" measureGroup="tbl_Inventory_Status" count="0">
      <extLst>
        <ext xmlns:x15="http://schemas.microsoft.com/office/spreadsheetml/2010/11/main" uri="{B97F6D7D-B522-45F9-BDA1-12C45D357490}">
          <x15:cacheHierarchy aggregatedColumn="9"/>
        </ext>
      </extLst>
    </cacheHierarchy>
    <cacheHierarchy uniqueName="[Measures].[Sum of Avg_Daily_Demand]" caption="Sum of Avg_Daily_Demand" measure="1" displayFolder="" measureGroup="tbl_Demand_Analysis" count="0">
      <extLst>
        <ext xmlns:x15="http://schemas.microsoft.com/office/spreadsheetml/2010/11/main" uri="{B97F6D7D-B522-45F9-BDA1-12C45D357490}">
          <x15:cacheHierarchy aggregatedColumn="1"/>
        </ext>
      </extLst>
    </cacheHierarchy>
    <cacheHierarchy uniqueName="[Measures].[Sum of Unit_Cost]" caption="Sum of Unit_Cost" measure="1" displayFolder="" measureGroup="tbl_Inventory_Status" count="0">
      <extLst>
        <ext xmlns:x15="http://schemas.microsoft.com/office/spreadsheetml/2010/11/main" uri="{B97F6D7D-B522-45F9-BDA1-12C45D357490}">
          <x15:cacheHierarchy aggregatedColumn="8"/>
        </ext>
      </extLst>
    </cacheHierarchy>
    <cacheHierarchy uniqueName="[Measures].[Sum of Reorder_flag]" caption="Sum of Reorder_flag" measure="1" displayFolder="" measureGroup="tbl_Reorder_Optimization" count="0">
      <extLst>
        <ext xmlns:x15="http://schemas.microsoft.com/office/spreadsheetml/2010/11/main" uri="{B97F6D7D-B522-45F9-BDA1-12C45D357490}">
          <x15:cacheHierarchy aggregatedColumn="28"/>
        </ext>
      </extLst>
    </cacheHierarchy>
    <cacheHierarchy uniqueName="[Measures].[Count of Avg_Daily_Demand]" caption="Count of Avg_Daily_Demand" measure="1" displayFolder="" measureGroup="tbl_Demand_Analysis" count="0">
      <extLst>
        <ext xmlns:x15="http://schemas.microsoft.com/office/spreadsheetml/2010/11/main" uri="{B97F6D7D-B522-45F9-BDA1-12C45D357490}">
          <x15:cacheHierarchy aggregatedColumn="1"/>
        </ext>
      </extLst>
    </cacheHierarchy>
    <cacheHierarchy uniqueName="[Measures].[Sum of Current_Stock]" caption="Sum of Current_Stock" measure="1" displayFolder="" measureGroup="tbl_Reorder_Optimization" count="0">
      <extLst>
        <ext xmlns:x15="http://schemas.microsoft.com/office/spreadsheetml/2010/11/main" uri="{B97F6D7D-B522-45F9-BDA1-12C45D357490}">
          <x15:cacheHierarchy aggregatedColumn="25"/>
        </ext>
      </extLst>
    </cacheHierarchy>
    <cacheHierarchy uniqueName="[Measures].[Sum of Reorder_Point]" caption="Sum of Reorder_Point" measure="1" displayFolder="" measureGroup="tbl_Reorder_Optimization" count="0">
      <extLst>
        <ext xmlns:x15="http://schemas.microsoft.com/office/spreadsheetml/2010/11/main" uri="{B97F6D7D-B522-45F9-BDA1-12C45D357490}">
          <x15:cacheHierarchy aggregatedColumn="24"/>
        </ext>
      </extLst>
    </cacheHierarchy>
    <cacheHierarchy uniqueName="[Measures].[Sum of Avg_Daily_Demand 2]" caption="Sum of Avg_Daily_Demand 2" measure="1" displayFolder="" measureGroup="tbl_Reorder_Optimization" count="0">
      <extLst>
        <ext xmlns:x15="http://schemas.microsoft.com/office/spreadsheetml/2010/11/main" uri="{B97F6D7D-B522-45F9-BDA1-12C45D357490}">
          <x15:cacheHierarchy aggregatedColumn="21"/>
        </ext>
      </extLst>
    </cacheHierarchy>
    <cacheHierarchy uniqueName="[Measures].[Sum of Unit_Cost 2]" caption="Sum of Unit_Cost 2" measure="1" displayFolder="" measureGroup="tbl_Products" count="0">
      <extLst>
        <ext xmlns:x15="http://schemas.microsoft.com/office/spreadsheetml/2010/11/main" uri="{B97F6D7D-B522-45F9-BDA1-12C45D357490}">
          <x15:cacheHierarchy aggregatedColumn="15"/>
        </ext>
      </extLst>
    </cacheHierarchy>
    <cacheHierarchy uniqueName="[Measures].[Average of Avg_Daily_Demand]" caption="Average of Avg_Daily_Demand" measure="1" displayFolder="" measureGroup="tbl_Reorder_Optimization" count="0">
      <extLst>
        <ext xmlns:x15="http://schemas.microsoft.com/office/spreadsheetml/2010/11/main" uri="{B97F6D7D-B522-45F9-BDA1-12C45D357490}">
          <x15:cacheHierarchy aggregatedColumn="21"/>
        </ext>
      </extLst>
    </cacheHierarchy>
    <cacheHierarchy uniqueName="[Measures].[Average of Unit_Cost]" caption="Average of Unit_Cost" measure="1" displayFolder="" measureGroup="tbl_Products" count="0">
      <extLst>
        <ext xmlns:x15="http://schemas.microsoft.com/office/spreadsheetml/2010/11/main" uri="{B97F6D7D-B522-45F9-BDA1-12C45D357490}">
          <x15:cacheHierarchy aggregatedColumn="15"/>
        </ext>
      </extLst>
    </cacheHierarchy>
    <cacheHierarchy uniqueName="[Measures].[Count of Action]" caption="Count of Action" measure="1" displayFolder="" measureGroup="tbl_Reorder_Optimization" count="0">
      <extLst>
        <ext xmlns:x15="http://schemas.microsoft.com/office/spreadsheetml/2010/11/main" uri="{B97F6D7D-B522-45F9-BDA1-12C45D357490}">
          <x15:cacheHierarchy aggregatedColumn="27"/>
        </ext>
      </extLst>
    </cacheHierarchy>
    <cacheHierarchy uniqueName="[Measures].[Count of Reorder_flag]" caption="Count of Reorder_flag" measure="1" displayFolder="" measureGroup="tbl_Reorder_Optimization" count="0" oneField="1">
      <fieldsUsage count="1">
        <fieldUsage x="1"/>
      </fieldsUsage>
      <extLst>
        <ext xmlns:x15="http://schemas.microsoft.com/office/spreadsheetml/2010/11/main" uri="{B97F6D7D-B522-45F9-BDA1-12C45D357490}">
          <x15:cacheHierarchy aggregatedColumn="28"/>
        </ext>
      </extLst>
    </cacheHierarchy>
    <cacheHierarchy uniqueName="[Measures].[Average of Unit_Cost 2]" caption="Average of Unit_Cost 2" measure="1" displayFolder="" measureGroup="tbl_Inventory_Status" count="0">
      <extLst>
        <ext xmlns:x15="http://schemas.microsoft.com/office/spreadsheetml/2010/11/main" uri="{B97F6D7D-B522-45F9-BDA1-12C45D357490}">
          <x15:cacheHierarchy aggregatedColumn="8"/>
        </ext>
      </extLst>
    </cacheHierarchy>
    <cacheHierarchy uniqueName="[Measures].[Inventory Gap measure]" caption="Inventory Gap measure" measure="1" displayFolder="" measureGroup="tbl_Products" count="0"/>
    <cacheHierarchy uniqueName="[Measures].[__XL_Count tbl_Products]" caption="__XL_Count tbl_Products" measure="1" displayFolder="" measureGroup="tbl_Products" count="0" hidden="1"/>
    <cacheHierarchy uniqueName="[Measures].[__XL_Count tbl_Transactions]" caption="__XL_Count tbl_Transactions" measure="1" displayFolder="" measureGroup="tbl_Transactions" count="0" hidden="1"/>
    <cacheHierarchy uniqueName="[Measures].[__XL_Count tbl_Inventory_Status]" caption="__XL_Count tbl_Inventory_Status" measure="1" displayFolder="" measureGroup="tbl_Inventory_Status" count="0" hidden="1"/>
    <cacheHierarchy uniqueName="[Measures].[__XL_Count tbl_Demand_Analysis]" caption="__XL_Count tbl_Demand_Analysis" measure="1" displayFolder="" measureGroup="tbl_Demand_Analysis" count="0" hidden="1"/>
    <cacheHierarchy uniqueName="[Measures].[__XL_Count tbl_Reorder_Optimization]" caption="__XL_Count tbl_Reorder_Optimization" measure="1" displayFolder="" measureGroup="tbl_Reorder_Optimization" count="0" hidden="1"/>
    <cacheHierarchy uniqueName="[Measures].[__No measures defined]" caption="__No measures defined" measure="1" displayFolder="" count="0" hidden="1"/>
  </cacheHierarchies>
  <kpis count="0"/>
  <dimensions count="6">
    <dimension measure="1" name="Measures" uniqueName="[Measures]" caption="Measures"/>
    <dimension name="tbl_Demand_Analysis" uniqueName="[tbl_Demand_Analysis]" caption="tbl_Demand_Analysis"/>
    <dimension name="tbl_Inventory_Status" uniqueName="[tbl_Inventory_Status]" caption="tbl_Inventory_Status"/>
    <dimension name="tbl_Products" uniqueName="[tbl_Products]" caption="tbl_Products"/>
    <dimension name="tbl_Reorder_Optimization" uniqueName="[tbl_Reorder_Optimization]" caption="tbl_Reorder_Optimization"/>
    <dimension name="tbl_Transactions" uniqueName="[tbl_Transactions]" caption="tbl_Transactions"/>
  </dimensions>
  <measureGroups count="5">
    <measureGroup name="tbl_Demand_Analysis" caption="tbl_Demand_Analysis"/>
    <measureGroup name="tbl_Inventory_Status" caption="tbl_Inventory_Status"/>
    <measureGroup name="tbl_Products" caption="tbl_Products"/>
    <measureGroup name="tbl_Reorder_Optimization" caption="tbl_Reorder_Optimization"/>
    <measureGroup name="tbl_Transactions" caption="tbl_Transactions"/>
  </measureGroups>
  <maps count="8">
    <map measureGroup="0" dimension="1"/>
    <map measureGroup="0" dimension="3"/>
    <map measureGroup="1" dimension="2"/>
    <map measureGroup="1" dimension="3"/>
    <map measureGroup="2" dimension="3"/>
    <map measureGroup="3" dimension="3"/>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gourav jatav" refreshedDate="46016.500138425923" backgroundQuery="1" createdVersion="8" refreshedVersion="8" minRefreshableVersion="3" recordCount="0" supportSubquery="1" supportAdvancedDrill="1" xr:uid="{436DDC21-E0A9-4B05-8301-D739D5293601}">
  <cacheSource type="external" connectionId="1"/>
  <cacheFields count="3">
    <cacheField name="[tbl_Products].[Product_ID].[Product_ID]" caption="Product_ID" numFmtId="0" hierarchy="11" level="1">
      <sharedItems count="10">
        <s v="P009"/>
        <s v="P018"/>
        <s v="P033"/>
        <s v="P037"/>
        <s v="P046"/>
        <s v="P052"/>
        <s v="P065"/>
        <s v="P074"/>
        <s v="P096"/>
        <s v="P111"/>
      </sharedItems>
    </cacheField>
    <cacheField name="[Measures].[Sum of Avg_Daily_Demand]" caption="Sum of Avg_Daily_Demand" numFmtId="0" hierarchy="36" level="32767"/>
    <cacheField name="[tbl_Products].[Category].[Category]" caption="Category" numFmtId="0" hierarchy="13" level="1">
      <sharedItems count="7">
        <s v="Bakery"/>
        <s v="Beverages"/>
        <s v="Dairy"/>
        <s v="Fruits"/>
        <s v="Grains"/>
        <s v="Oils"/>
        <s v="Seafood"/>
      </sharedItems>
    </cacheField>
  </cacheFields>
  <cacheHierarchies count="56">
    <cacheHierarchy uniqueName="[tbl_Demand_Analysis].[Product_ID]" caption="Product_ID" attribute="1" defaultMemberUniqueName="[tbl_Demand_Analysis].[Product_ID].[All]" allUniqueName="[tbl_Demand_Analysis].[Product_ID].[All]" dimensionUniqueName="[tbl_Demand_Analysis]" displayFolder="" count="0" memberValueDatatype="130" unbalanced="0"/>
    <cacheHierarchy uniqueName="[tbl_Demand_Analysis].[Avg_Daily_Demand]" caption="Avg_Daily_Demand" attribute="1" defaultMemberUniqueName="[tbl_Demand_Analysis].[Avg_Daily_Demand].[All]" allUniqueName="[tbl_Demand_Analysis].[Avg_Daily_Demand].[All]" dimensionUniqueName="[tbl_Demand_Analysis]" displayFolder="" count="0" memberValueDatatype="5" unbalanced="0"/>
    <cacheHierarchy uniqueName="[tbl_Demand_Analysis].[Monthly_Demand]" caption="Monthly_Demand" attribute="1" defaultMemberUniqueName="[tbl_Demand_Analysis].[Monthly_Demand].[All]" allUniqueName="[tbl_Demand_Analysis].[Monthly_Demand].[All]" dimensionUniqueName="[tbl_Demand_Analysis]" displayFolder="" count="0" memberValueDatatype="5" unbalanced="0"/>
    <cacheHierarchy uniqueName="[tbl_Demand_Analysis].[Max_Daily_Demand]" caption="Max_Daily_Demand" attribute="1" defaultMemberUniqueName="[tbl_Demand_Analysis].[Max_Daily_Demand].[All]" allUniqueName="[tbl_Demand_Analysis].[Max_Daily_Demand].[All]" dimensionUniqueName="[tbl_Demand_Analysis]" displayFolder="" count="0" memberValueDatatype="20" unbalanced="0"/>
    <cacheHierarchy uniqueName="[tbl_Inventory_Status].[Product_ID]" caption="Product_ID" attribute="1" defaultMemberUniqueName="[tbl_Inventory_Status].[Product_ID].[All]" allUniqueName="[tbl_Inventory_Status].[Product_ID].[All]" dimensionUniqueName="[tbl_Inventory_Status]" displayFolder="" count="0" memberValueDatatype="130" unbalanced="0"/>
    <cacheHierarchy uniqueName="[tbl_Inventory_Status].[Product_Name]" caption="Product_Name" attribute="1" defaultMemberUniqueName="[tbl_Inventory_Status].[Product_Name].[All]" allUniqueName="[tbl_Inventory_Status].[Product_Name].[All]" dimensionUniqueName="[tbl_Inventory_Status]" displayFolder="" count="0" memberValueDatatype="130" unbalanced="0"/>
    <cacheHierarchy uniqueName="[tbl_Inventory_Status].[Category]" caption="Category" attribute="1" defaultMemberUniqueName="[tbl_Inventory_Status].[Category].[All]" allUniqueName="[tbl_Inventory_Status].[Category].[All]" dimensionUniqueName="[tbl_Inventory_Status]" displayFolder="" count="0" memberValueDatatype="130" unbalanced="0"/>
    <cacheHierarchy uniqueName="[tbl_Inventory_Status].[Current_Stock]" caption="Current_Stock" attribute="1" defaultMemberUniqueName="[tbl_Inventory_Status].[Current_Stock].[All]" allUniqueName="[tbl_Inventory_Status].[Current_Stock].[All]" dimensionUniqueName="[tbl_Inventory_Status]" displayFolder="" count="0" memberValueDatatype="20" unbalanced="0"/>
    <cacheHierarchy uniqueName="[tbl_Inventory_Status].[Unit_Cost]" caption="Unit_Cost" attribute="1" defaultMemberUniqueName="[tbl_Inventory_Status].[Unit_Cost].[All]" allUniqueName="[tbl_Inventory_Status].[Unit_Cost].[All]" dimensionUniqueName="[tbl_Inventory_Status]" displayFolder="" count="0" memberValueDatatype="5" unbalanced="0"/>
    <cacheHierarchy uniqueName="[tbl_Inventory_Status].[Inventory_Value]" caption="Inventory_Value" attribute="1" defaultMemberUniqueName="[tbl_Inventory_Status].[Inventory_Value].[All]" allUniqueName="[tbl_Inventory_Status].[Inventory_Value].[All]" dimensionUniqueName="[tbl_Inventory_Status]" displayFolder="" count="0" memberValueDatatype="5" unbalanced="0"/>
    <cacheHierarchy uniqueName="[tbl_Inventory_Status].[Stock_Status]" caption="Stock_Status" attribute="1" defaultMemberUniqueName="[tbl_Inventory_Status].[Stock_Status].[All]" allUniqueName="[tbl_Inventory_Status].[Stock_Status].[All]" dimensionUniqueName="[tbl_Inventory_Status]" displayFolder="" count="0" memberValueDatatype="130" unbalanced="0"/>
    <cacheHierarchy uniqueName="[tbl_Products].[Product_ID]" caption="Product_ID" attribute="1" defaultMemberUniqueName="[tbl_Products].[Product_ID].[All]" allUniqueName="[tbl_Products].[Product_ID].[All]" dimensionUniqueName="[tbl_Products]" displayFolder="" count="2" memberValueDatatype="130" unbalanced="0">
      <fieldsUsage count="2">
        <fieldUsage x="-1"/>
        <fieldUsage x="0"/>
      </fieldsUsage>
    </cacheHierarchy>
    <cacheHierarchy uniqueName="[tbl_Products].[Product_Name_]" caption="Product_Name_" attribute="1" defaultMemberUniqueName="[tbl_Products].[Product_Name_].[All]" allUniqueName="[tbl_Products].[Product_Name_].[All]" dimensionUniqueName="[tbl_Products]" displayFolder="" count="0" memberValueDatatype="130" unbalanced="0"/>
    <cacheHierarchy uniqueName="[tbl_Products].[Category]" caption="Category" attribute="1" defaultMemberUniqueName="[tbl_Products].[Category].[All]" allUniqueName="[tbl_Products].[Category].[All]" dimensionUniqueName="[tbl_Products]" displayFolder="" count="2" memberValueDatatype="130" unbalanced="0">
      <fieldsUsage count="2">
        <fieldUsage x="-1"/>
        <fieldUsage x="2"/>
      </fieldsUsage>
    </cacheHierarchy>
    <cacheHierarchy uniqueName="[tbl_Products].[Supplier_Name]" caption="Supplier_Name" attribute="1" defaultMemberUniqueName="[tbl_Products].[Supplier_Name].[All]" allUniqueName="[tbl_Products].[Supplier_Name].[All]" dimensionUniqueName="[tbl_Products]" displayFolder="" count="0" memberValueDatatype="130" unbalanced="0"/>
    <cacheHierarchy uniqueName="[tbl_Products].[Unit_Cost]" caption="Unit_Cost" attribute="1" defaultMemberUniqueName="[tbl_Products].[Unit_Cost].[All]" allUniqueName="[tbl_Products].[Unit_Cost].[All]" dimensionUniqueName="[tbl_Products]" displayFolder="" count="0" memberValueDatatype="5" unbalanced="0"/>
    <cacheHierarchy uniqueName="[tbl_Products].[Lead_Time_(Days)]" caption="Lead_Time_(Days)" attribute="1" defaultMemberUniqueName="[tbl_Products].[Lead_Time_(Days)].[All]" allUniqueName="[tbl_Products].[Lead_Time_(Days)].[All]" dimensionUniqueName="[tbl_Products]" displayFolder="" count="0" memberValueDatatype="20" unbalanced="0"/>
    <cacheHierarchy uniqueName="[tbl_Products].[Minimum_Order_Quantity(MOQ)]" caption="Minimum_Order_Quantity(MOQ)" attribute="1" defaultMemberUniqueName="[tbl_Products].[Minimum_Order_Quantity(MOQ)].[All]" allUniqueName="[tbl_Products].[Minimum_Order_Quantity(MOQ)].[All]" dimensionUniqueName="[tbl_Products]" displayFolder="" count="0" memberValueDatatype="20" unbalanced="0"/>
    <cacheHierarchy uniqueName="[tbl_Products].[Holding_Cost_per_Unit(Monthly)]" caption="Holding_Cost_per_Unit(Monthly)" attribute="1" defaultMemberUniqueName="[tbl_Products].[Holding_Cost_per_Unit(Monthly)].[All]" allUniqueName="[tbl_Products].[Holding_Cost_per_Unit(Monthly)].[All]" dimensionUniqueName="[tbl_Products]" displayFolder="" count="0" memberValueDatatype="5" unbalanced="0"/>
    <cacheHierarchy uniqueName="[tbl_Products].[Order_Cost_per_Unit]" caption="Order_Cost_per_Unit" attribute="1" defaultMemberUniqueName="[tbl_Products].[Order_Cost_per_Unit].[All]" allUniqueName="[tbl_Products].[Order_Cost_per_Unit].[All]" dimensionUniqueName="[tbl_Products]" displayFolder="" count="0" memberValueDatatype="20" unbalanced="0"/>
    <cacheHierarchy uniqueName="[tbl_Reorder_Optimization].[Product_ID]" caption="Product_ID" attribute="1" defaultMemberUniqueName="[tbl_Reorder_Optimization].[Product_ID].[All]" allUniqueName="[tbl_Reorder_Optimization].[Product_ID].[All]" dimensionUniqueName="[tbl_Reorder_Optimization]" displayFolder="" count="0" memberValueDatatype="130" unbalanced="0"/>
    <cacheHierarchy uniqueName="[tbl_Reorder_Optimization].[Avg_Daily_Demand]" caption="Avg_Daily_Demand" attribute="1" defaultMemberUniqueName="[tbl_Reorder_Optimization].[Avg_Daily_Demand].[All]" allUniqueName="[tbl_Reorder_Optimization].[Avg_Daily_Demand].[All]" dimensionUniqueName="[tbl_Reorder_Optimization]" displayFolder="" count="0" memberValueDatatype="5" unbalanced="0"/>
    <cacheHierarchy uniqueName="[tbl_Reorder_Optimization].[Lead_Time]" caption="Lead_Time" attribute="1" defaultMemberUniqueName="[tbl_Reorder_Optimization].[Lead_Time].[All]" allUniqueName="[tbl_Reorder_Optimization].[Lead_Time].[All]" dimensionUniqueName="[tbl_Reorder_Optimization]" displayFolder="" count="0" memberValueDatatype="20" unbalanced="0"/>
    <cacheHierarchy uniqueName="[tbl_Reorder_Optimization].[Safety_Stock]" caption="Safety_Stock" attribute="1" defaultMemberUniqueName="[tbl_Reorder_Optimization].[Safety_Stock].[All]" allUniqueName="[tbl_Reorder_Optimization].[Safety_Stock].[All]" dimensionUniqueName="[tbl_Reorder_Optimization]" displayFolder="" count="0" memberValueDatatype="5" unbalanced="0"/>
    <cacheHierarchy uniqueName="[tbl_Reorder_Optimization].[Reorder_Point]" caption="Reorder_Point" attribute="1" defaultMemberUniqueName="[tbl_Reorder_Optimization].[Reorder_Point].[All]" allUniqueName="[tbl_Reorder_Optimization].[Reorder_Point].[All]" dimensionUniqueName="[tbl_Reorder_Optimization]" displayFolder="" count="0" memberValueDatatype="20" unbalanced="0"/>
    <cacheHierarchy uniqueName="[tbl_Reorder_Optimization].[Current_Stock]" caption="Current_Stock" attribute="1" defaultMemberUniqueName="[tbl_Reorder_Optimization].[Current_Stock].[All]" allUniqueName="[tbl_Reorder_Optimization].[Current_Stock].[All]" dimensionUniqueName="[tbl_Reorder_Optimization]" displayFolder="" count="0" memberValueDatatype="20" unbalanced="0"/>
    <cacheHierarchy uniqueName="[tbl_Reorder_Optimization].[EOQ]" caption="EOQ" attribute="1" defaultMemberUniqueName="[tbl_Reorder_Optimization].[EOQ].[All]" allUniqueName="[tbl_Reorder_Optimization].[EOQ].[All]" dimensionUniqueName="[tbl_Reorder_Optimization]" displayFolder="" count="0" memberValueDatatype="5" unbalanced="0"/>
    <cacheHierarchy uniqueName="[tbl_Reorder_Optimization].[Action]" caption="Action" attribute="1" defaultMemberUniqueName="[tbl_Reorder_Optimization].[Action].[All]" allUniqueName="[tbl_Reorder_Optimization].[Action].[All]" dimensionUniqueName="[tbl_Reorder_Optimization]" displayFolder="" count="0" memberValueDatatype="130" unbalanced="0"/>
    <cacheHierarchy uniqueName="[tbl_Reorder_Optimization].[Reorder_flag]" caption="Reorder_flag" attribute="1" defaultMemberUniqueName="[tbl_Reorder_Optimization].[Reorder_flag].[All]" allUniqueName="[tbl_Reorder_Optimization].[Reorder_flag].[All]" dimensionUniqueName="[tbl_Reorder_Optimization]" displayFolder="" count="0" memberValueDatatype="20" unbalanced="0"/>
    <cacheHierarchy uniqueName="[tbl_Transactions].[Transaction_ID]" caption="Transaction_ID" attribute="1" defaultMemberUniqueName="[tbl_Transactions].[Transaction_ID].[All]" allUniqueName="[tbl_Transactions].[Transaction_ID].[All]" dimensionUniqueName="[tbl_Transactions]" displayFolder="" count="0" memberValueDatatype="130" unbalanced="0"/>
    <cacheHierarchy uniqueName="[tbl_Transactions].[Transaction Date]" caption="Transaction Date" attribute="1" time="1" defaultMemberUniqueName="[tbl_Transactions].[Transaction Date].[All]" allUniqueName="[tbl_Transactions].[Transaction Date].[All]" dimensionUniqueName="[tbl_Transactions]" displayFolder="" count="0" memberValueDatatype="7" unbalanced="0"/>
    <cacheHierarchy uniqueName="[tbl_Transactions].[Product ID]" caption="Product ID" attribute="1" defaultMemberUniqueName="[tbl_Transactions].[Product ID].[All]" allUniqueName="[tbl_Transactions].[Product ID].[All]" dimensionUniqueName="[tbl_Transactions]" displayFolder="" count="0" memberValueDatatype="130" unbalanced="0"/>
    <cacheHierarchy uniqueName="[tbl_Transactions].[Transaction Type]" caption="Transaction Type" attribute="1" defaultMemberUniqueName="[tbl_Transactions].[Transaction Type].[All]" allUniqueName="[tbl_Transactions].[Transaction Type].[All]" dimensionUniqueName="[tbl_Transactions]" displayFolder="" count="0" memberValueDatatype="130" unbalanced="0"/>
    <cacheHierarchy uniqueName="[tbl_Transactions].[Quantity]" caption="Quantity" attribute="1" defaultMemberUniqueName="[tbl_Transactions].[Quantity].[All]" allUniqueName="[tbl_Transactions].[Quantity].[All]" dimensionUniqueName="[tbl_Transactions]" displayFolder="" count="0" memberValueDatatype="20" unbalanced="0"/>
    <cacheHierarchy uniqueName="[tbl_Transactions].[Location]" caption="Location" attribute="1" defaultMemberUniqueName="[tbl_Transactions].[Location].[All]" allUniqueName="[tbl_Transactions].[Location].[All]" dimensionUniqueName="[tbl_Transactions]" displayFolder="" count="0" memberValueDatatype="130" unbalanced="0"/>
    <cacheHierarchy uniqueName="[Measures].[Sum of Inventory_Value]" caption="Sum of Inventory_Value" measure="1" displayFolder="" measureGroup="tbl_Inventory_Status" count="0">
      <extLst>
        <ext xmlns:x15="http://schemas.microsoft.com/office/spreadsheetml/2010/11/main" uri="{B97F6D7D-B522-45F9-BDA1-12C45D357490}">
          <x15:cacheHierarchy aggregatedColumn="9"/>
        </ext>
      </extLst>
    </cacheHierarchy>
    <cacheHierarchy uniqueName="[Measures].[Sum of Avg_Daily_Demand]" caption="Sum of Avg_Daily_Demand" measure="1" displayFolder="" measureGroup="tbl_Demand_Analysis" count="0" oneField="1">
      <fieldsUsage count="1">
        <fieldUsage x="1"/>
      </fieldsUsage>
      <extLst>
        <ext xmlns:x15="http://schemas.microsoft.com/office/spreadsheetml/2010/11/main" uri="{B97F6D7D-B522-45F9-BDA1-12C45D357490}">
          <x15:cacheHierarchy aggregatedColumn="1"/>
        </ext>
      </extLst>
    </cacheHierarchy>
    <cacheHierarchy uniqueName="[Measures].[Sum of Unit_Cost]" caption="Sum of Unit_Cost" measure="1" displayFolder="" measureGroup="tbl_Inventory_Status" count="0">
      <extLst>
        <ext xmlns:x15="http://schemas.microsoft.com/office/spreadsheetml/2010/11/main" uri="{B97F6D7D-B522-45F9-BDA1-12C45D357490}">
          <x15:cacheHierarchy aggregatedColumn="8"/>
        </ext>
      </extLst>
    </cacheHierarchy>
    <cacheHierarchy uniqueName="[Measures].[Sum of Reorder_flag]" caption="Sum of Reorder_flag" measure="1" displayFolder="" measureGroup="tbl_Reorder_Optimization" count="0">
      <extLst>
        <ext xmlns:x15="http://schemas.microsoft.com/office/spreadsheetml/2010/11/main" uri="{B97F6D7D-B522-45F9-BDA1-12C45D357490}">
          <x15:cacheHierarchy aggregatedColumn="28"/>
        </ext>
      </extLst>
    </cacheHierarchy>
    <cacheHierarchy uniqueName="[Measures].[Count of Avg_Daily_Demand]" caption="Count of Avg_Daily_Demand" measure="1" displayFolder="" measureGroup="tbl_Demand_Analysis" count="0">
      <extLst>
        <ext xmlns:x15="http://schemas.microsoft.com/office/spreadsheetml/2010/11/main" uri="{B97F6D7D-B522-45F9-BDA1-12C45D357490}">
          <x15:cacheHierarchy aggregatedColumn="1"/>
        </ext>
      </extLst>
    </cacheHierarchy>
    <cacheHierarchy uniqueName="[Measures].[Sum of Current_Stock]" caption="Sum of Current_Stock" measure="1" displayFolder="" measureGroup="tbl_Reorder_Optimization" count="0">
      <extLst>
        <ext xmlns:x15="http://schemas.microsoft.com/office/spreadsheetml/2010/11/main" uri="{B97F6D7D-B522-45F9-BDA1-12C45D357490}">
          <x15:cacheHierarchy aggregatedColumn="25"/>
        </ext>
      </extLst>
    </cacheHierarchy>
    <cacheHierarchy uniqueName="[Measures].[Sum of Reorder_Point]" caption="Sum of Reorder_Point" measure="1" displayFolder="" measureGroup="tbl_Reorder_Optimization" count="0">
      <extLst>
        <ext xmlns:x15="http://schemas.microsoft.com/office/spreadsheetml/2010/11/main" uri="{B97F6D7D-B522-45F9-BDA1-12C45D357490}">
          <x15:cacheHierarchy aggregatedColumn="24"/>
        </ext>
      </extLst>
    </cacheHierarchy>
    <cacheHierarchy uniqueName="[Measures].[Sum of Avg_Daily_Demand 2]" caption="Sum of Avg_Daily_Demand 2" measure="1" displayFolder="" measureGroup="tbl_Reorder_Optimization" count="0">
      <extLst>
        <ext xmlns:x15="http://schemas.microsoft.com/office/spreadsheetml/2010/11/main" uri="{B97F6D7D-B522-45F9-BDA1-12C45D357490}">
          <x15:cacheHierarchy aggregatedColumn="21"/>
        </ext>
      </extLst>
    </cacheHierarchy>
    <cacheHierarchy uniqueName="[Measures].[Sum of Unit_Cost 2]" caption="Sum of Unit_Cost 2" measure="1" displayFolder="" measureGroup="tbl_Products" count="0">
      <extLst>
        <ext xmlns:x15="http://schemas.microsoft.com/office/spreadsheetml/2010/11/main" uri="{B97F6D7D-B522-45F9-BDA1-12C45D357490}">
          <x15:cacheHierarchy aggregatedColumn="15"/>
        </ext>
      </extLst>
    </cacheHierarchy>
    <cacheHierarchy uniqueName="[Measures].[Average of Avg_Daily_Demand]" caption="Average of Avg_Daily_Demand" measure="1" displayFolder="" measureGroup="tbl_Reorder_Optimization" count="0">
      <extLst>
        <ext xmlns:x15="http://schemas.microsoft.com/office/spreadsheetml/2010/11/main" uri="{B97F6D7D-B522-45F9-BDA1-12C45D357490}">
          <x15:cacheHierarchy aggregatedColumn="21"/>
        </ext>
      </extLst>
    </cacheHierarchy>
    <cacheHierarchy uniqueName="[Measures].[Average of Unit_Cost]" caption="Average of Unit_Cost" measure="1" displayFolder="" measureGroup="tbl_Products" count="0">
      <extLst>
        <ext xmlns:x15="http://schemas.microsoft.com/office/spreadsheetml/2010/11/main" uri="{B97F6D7D-B522-45F9-BDA1-12C45D357490}">
          <x15:cacheHierarchy aggregatedColumn="15"/>
        </ext>
      </extLst>
    </cacheHierarchy>
    <cacheHierarchy uniqueName="[Measures].[Count of Action]" caption="Count of Action" measure="1" displayFolder="" measureGroup="tbl_Reorder_Optimization" count="0">
      <extLst>
        <ext xmlns:x15="http://schemas.microsoft.com/office/spreadsheetml/2010/11/main" uri="{B97F6D7D-B522-45F9-BDA1-12C45D357490}">
          <x15:cacheHierarchy aggregatedColumn="27"/>
        </ext>
      </extLst>
    </cacheHierarchy>
    <cacheHierarchy uniqueName="[Measures].[Count of Reorder_flag]" caption="Count of Reorder_flag" measure="1" displayFolder="" measureGroup="tbl_Reorder_Optimization" count="0">
      <extLst>
        <ext xmlns:x15="http://schemas.microsoft.com/office/spreadsheetml/2010/11/main" uri="{B97F6D7D-B522-45F9-BDA1-12C45D357490}">
          <x15:cacheHierarchy aggregatedColumn="28"/>
        </ext>
      </extLst>
    </cacheHierarchy>
    <cacheHierarchy uniqueName="[Measures].[Average of Unit_Cost 2]" caption="Average of Unit_Cost 2" measure="1" displayFolder="" measureGroup="tbl_Inventory_Status" count="0">
      <extLst>
        <ext xmlns:x15="http://schemas.microsoft.com/office/spreadsheetml/2010/11/main" uri="{B97F6D7D-B522-45F9-BDA1-12C45D357490}">
          <x15:cacheHierarchy aggregatedColumn="8"/>
        </ext>
      </extLst>
    </cacheHierarchy>
    <cacheHierarchy uniqueName="[Measures].[Inventory Gap measure]" caption="Inventory Gap measure" measure="1" displayFolder="" measureGroup="tbl_Products" count="0"/>
    <cacheHierarchy uniqueName="[Measures].[__XL_Count tbl_Products]" caption="__XL_Count tbl_Products" measure="1" displayFolder="" measureGroup="tbl_Products" count="0" hidden="1"/>
    <cacheHierarchy uniqueName="[Measures].[__XL_Count tbl_Transactions]" caption="__XL_Count tbl_Transactions" measure="1" displayFolder="" measureGroup="tbl_Transactions" count="0" hidden="1"/>
    <cacheHierarchy uniqueName="[Measures].[__XL_Count tbl_Inventory_Status]" caption="__XL_Count tbl_Inventory_Status" measure="1" displayFolder="" measureGroup="tbl_Inventory_Status" count="0" hidden="1"/>
    <cacheHierarchy uniqueName="[Measures].[__XL_Count tbl_Demand_Analysis]" caption="__XL_Count tbl_Demand_Analysis" measure="1" displayFolder="" measureGroup="tbl_Demand_Analysis" count="0" hidden="1"/>
    <cacheHierarchy uniqueName="[Measures].[__XL_Count tbl_Reorder_Optimization]" caption="__XL_Count tbl_Reorder_Optimization" measure="1" displayFolder="" measureGroup="tbl_Reorder_Optimization" count="0" hidden="1"/>
    <cacheHierarchy uniqueName="[Measures].[__No measures defined]" caption="__No measures defined" measure="1" displayFolder="" count="0" hidden="1"/>
  </cacheHierarchies>
  <kpis count="0"/>
  <dimensions count="6">
    <dimension measure="1" name="Measures" uniqueName="[Measures]" caption="Measures"/>
    <dimension name="tbl_Demand_Analysis" uniqueName="[tbl_Demand_Analysis]" caption="tbl_Demand_Analysis"/>
    <dimension name="tbl_Inventory_Status" uniqueName="[tbl_Inventory_Status]" caption="tbl_Inventory_Status"/>
    <dimension name="tbl_Products" uniqueName="[tbl_Products]" caption="tbl_Products"/>
    <dimension name="tbl_Reorder_Optimization" uniqueName="[tbl_Reorder_Optimization]" caption="tbl_Reorder_Optimization"/>
    <dimension name="tbl_Transactions" uniqueName="[tbl_Transactions]" caption="tbl_Transactions"/>
  </dimensions>
  <measureGroups count="5">
    <measureGroup name="tbl_Demand_Analysis" caption="tbl_Demand_Analysis"/>
    <measureGroup name="tbl_Inventory_Status" caption="tbl_Inventory_Status"/>
    <measureGroup name="tbl_Products" caption="tbl_Products"/>
    <measureGroup name="tbl_Reorder_Optimization" caption="tbl_Reorder_Optimization"/>
    <measureGroup name="tbl_Transactions" caption="tbl_Transactions"/>
  </measureGroups>
  <maps count="8">
    <map measureGroup="0" dimension="1"/>
    <map measureGroup="0" dimension="3"/>
    <map measureGroup="1" dimension="2"/>
    <map measureGroup="1" dimension="3"/>
    <map measureGroup="2" dimension="3"/>
    <map measureGroup="3" dimension="3"/>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gourav jatav" refreshedDate="46012.475454976855" backgroundQuery="1" createdVersion="3" refreshedVersion="8" minRefreshableVersion="3" recordCount="0" supportSubquery="1" supportAdvancedDrill="1" xr:uid="{B73AD7C9-2B07-466C-A384-5B8FD23B2873}">
  <cacheSource type="external" connectionId="1">
    <extLst>
      <ext xmlns:x14="http://schemas.microsoft.com/office/spreadsheetml/2009/9/main" uri="{F057638F-6D5F-4e77-A914-E7F072B9BCA8}">
        <x14:sourceConnection name="ThisWorkbookDataModel"/>
      </ext>
    </extLst>
  </cacheSource>
  <cacheFields count="0"/>
  <cacheHierarchies count="56">
    <cacheHierarchy uniqueName="[tbl_Demand_Analysis].[Product_ID]" caption="Product_ID" attribute="1" defaultMemberUniqueName="[tbl_Demand_Analysis].[Product_ID].[All]" allUniqueName="[tbl_Demand_Analysis].[Product_ID].[All]" dimensionUniqueName="[tbl_Demand_Analysis]" displayFolder="" count="0" memberValueDatatype="130" unbalanced="0"/>
    <cacheHierarchy uniqueName="[tbl_Demand_Analysis].[Avg_Daily_Demand]" caption="Avg_Daily_Demand" attribute="1" defaultMemberUniqueName="[tbl_Demand_Analysis].[Avg_Daily_Demand].[All]" allUniqueName="[tbl_Demand_Analysis].[Avg_Daily_Demand].[All]" dimensionUniqueName="[tbl_Demand_Analysis]" displayFolder="" count="0" memberValueDatatype="5" unbalanced="0"/>
    <cacheHierarchy uniqueName="[tbl_Demand_Analysis].[Monthly_Demand]" caption="Monthly_Demand" attribute="1" defaultMemberUniqueName="[tbl_Demand_Analysis].[Monthly_Demand].[All]" allUniqueName="[tbl_Demand_Analysis].[Monthly_Demand].[All]" dimensionUniqueName="[tbl_Demand_Analysis]" displayFolder="" count="0" memberValueDatatype="5" unbalanced="0"/>
    <cacheHierarchy uniqueName="[tbl_Demand_Analysis].[Max_Daily_Demand]" caption="Max_Daily_Demand" attribute="1" defaultMemberUniqueName="[tbl_Demand_Analysis].[Max_Daily_Demand].[All]" allUniqueName="[tbl_Demand_Analysis].[Max_Daily_Demand].[All]" dimensionUniqueName="[tbl_Demand_Analysis]" displayFolder="" count="0" memberValueDatatype="20" unbalanced="0"/>
    <cacheHierarchy uniqueName="[tbl_Inventory_Status].[Product_ID]" caption="Product_ID" attribute="1" defaultMemberUniqueName="[tbl_Inventory_Status].[Product_ID].[All]" allUniqueName="[tbl_Inventory_Status].[Product_ID].[All]" dimensionUniqueName="[tbl_Inventory_Status]" displayFolder="" count="0" memberValueDatatype="130" unbalanced="0"/>
    <cacheHierarchy uniqueName="[tbl_Inventory_Status].[Product_Name]" caption="Product_Name" attribute="1" defaultMemberUniqueName="[tbl_Inventory_Status].[Product_Name].[All]" allUniqueName="[tbl_Inventory_Status].[Product_Name].[All]" dimensionUniqueName="[tbl_Inventory_Status]" displayFolder="" count="0" memberValueDatatype="130" unbalanced="0"/>
    <cacheHierarchy uniqueName="[tbl_Inventory_Status].[Category]" caption="Category" attribute="1" defaultMemberUniqueName="[tbl_Inventory_Status].[Category].[All]" allUniqueName="[tbl_Inventory_Status].[Category].[All]" dimensionUniqueName="[tbl_Inventory_Status]" displayFolder="" count="0" memberValueDatatype="130" unbalanced="0"/>
    <cacheHierarchy uniqueName="[tbl_Inventory_Status].[Current_Stock]" caption="Current_Stock" attribute="1" defaultMemberUniqueName="[tbl_Inventory_Status].[Current_Stock].[All]" allUniqueName="[tbl_Inventory_Status].[Current_Stock].[All]" dimensionUniqueName="[tbl_Inventory_Status]" displayFolder="" count="0" memberValueDatatype="20" unbalanced="0"/>
    <cacheHierarchy uniqueName="[tbl_Inventory_Status].[Unit_Cost]" caption="Unit_Cost" attribute="1" defaultMemberUniqueName="[tbl_Inventory_Status].[Unit_Cost].[All]" allUniqueName="[tbl_Inventory_Status].[Unit_Cost].[All]" dimensionUniqueName="[tbl_Inventory_Status]" displayFolder="" count="0" memberValueDatatype="5" unbalanced="0"/>
    <cacheHierarchy uniqueName="[tbl_Inventory_Status].[Inventory_Value]" caption="Inventory_Value" attribute="1" defaultMemberUniqueName="[tbl_Inventory_Status].[Inventory_Value].[All]" allUniqueName="[tbl_Inventory_Status].[Inventory_Value].[All]" dimensionUniqueName="[tbl_Inventory_Status]" displayFolder="" count="0" memberValueDatatype="5" unbalanced="0"/>
    <cacheHierarchy uniqueName="[tbl_Inventory_Status].[Stock_Status]" caption="Stock_Status" attribute="1" defaultMemberUniqueName="[tbl_Inventory_Status].[Stock_Status].[All]" allUniqueName="[tbl_Inventory_Status].[Stock_Status].[All]" dimensionUniqueName="[tbl_Inventory_Status]" displayFolder="" count="0" memberValueDatatype="130" unbalanced="0"/>
    <cacheHierarchy uniqueName="[tbl_Products].[Product_ID]" caption="Product_ID" attribute="1" defaultMemberUniqueName="[tbl_Products].[Product_ID].[All]" allUniqueName="[tbl_Products].[Product_ID].[All]" dimensionUniqueName="[tbl_Products]" displayFolder="" count="0" memberValueDatatype="130" unbalanced="0"/>
    <cacheHierarchy uniqueName="[tbl_Products].[Product_Name_]" caption="Product_Name_" attribute="1" defaultMemberUniqueName="[tbl_Products].[Product_Name_].[All]" allUniqueName="[tbl_Products].[Product_Name_].[All]" dimensionUniqueName="[tbl_Products]" displayFolder="" count="0" memberValueDatatype="130" unbalanced="0"/>
    <cacheHierarchy uniqueName="[tbl_Products].[Category]" caption="Category" attribute="1" defaultMemberUniqueName="[tbl_Products].[Category].[All]" allUniqueName="[tbl_Products].[Category].[All]" dimensionUniqueName="[tbl_Products]" displayFolder="" count="2" memberValueDatatype="130" unbalanced="0"/>
    <cacheHierarchy uniqueName="[tbl_Products].[Supplier_Name]" caption="Supplier_Name" attribute="1" defaultMemberUniqueName="[tbl_Products].[Supplier_Name].[All]" allUniqueName="[tbl_Products].[Supplier_Name].[All]" dimensionUniqueName="[tbl_Products]" displayFolder="" count="0" memberValueDatatype="130" unbalanced="0"/>
    <cacheHierarchy uniqueName="[tbl_Products].[Unit_Cost]" caption="Unit_Cost" attribute="1" defaultMemberUniqueName="[tbl_Products].[Unit_Cost].[All]" allUniqueName="[tbl_Products].[Unit_Cost].[All]" dimensionUniqueName="[tbl_Products]" displayFolder="" count="0" memberValueDatatype="5" unbalanced="0"/>
    <cacheHierarchy uniqueName="[tbl_Products].[Lead_Time_(Days)]" caption="Lead_Time_(Days)" attribute="1" defaultMemberUniqueName="[tbl_Products].[Lead_Time_(Days)].[All]" allUniqueName="[tbl_Products].[Lead_Time_(Days)].[All]" dimensionUniqueName="[tbl_Products]" displayFolder="" count="0" memberValueDatatype="20" unbalanced="0"/>
    <cacheHierarchy uniqueName="[tbl_Products].[Minimum_Order_Quantity(MOQ)]" caption="Minimum_Order_Quantity(MOQ)" attribute="1" defaultMemberUniqueName="[tbl_Products].[Minimum_Order_Quantity(MOQ)].[All]" allUniqueName="[tbl_Products].[Minimum_Order_Quantity(MOQ)].[All]" dimensionUniqueName="[tbl_Products]" displayFolder="" count="0" memberValueDatatype="20" unbalanced="0"/>
    <cacheHierarchy uniqueName="[tbl_Products].[Holding_Cost_per_Unit(Monthly)]" caption="Holding_Cost_per_Unit(Monthly)" attribute="1" defaultMemberUniqueName="[tbl_Products].[Holding_Cost_per_Unit(Monthly)].[All]" allUniqueName="[tbl_Products].[Holding_Cost_per_Unit(Monthly)].[All]" dimensionUniqueName="[tbl_Products]" displayFolder="" count="0" memberValueDatatype="5" unbalanced="0"/>
    <cacheHierarchy uniqueName="[tbl_Products].[Order_Cost_per_Unit]" caption="Order_Cost_per_Unit" attribute="1" defaultMemberUniqueName="[tbl_Products].[Order_Cost_per_Unit].[All]" allUniqueName="[tbl_Products].[Order_Cost_per_Unit].[All]" dimensionUniqueName="[tbl_Products]" displayFolder="" count="0" memberValueDatatype="20" unbalanced="0"/>
    <cacheHierarchy uniqueName="[tbl_Reorder_Optimization].[Product_ID]" caption="Product_ID" attribute="1" defaultMemberUniqueName="[tbl_Reorder_Optimization].[Product_ID].[All]" allUniqueName="[tbl_Reorder_Optimization].[Product_ID].[All]" dimensionUniqueName="[tbl_Reorder_Optimization]" displayFolder="" count="0" memberValueDatatype="130" unbalanced="0"/>
    <cacheHierarchy uniqueName="[tbl_Reorder_Optimization].[Avg_Daily_Demand]" caption="Avg_Daily_Demand" attribute="1" defaultMemberUniqueName="[tbl_Reorder_Optimization].[Avg_Daily_Demand].[All]" allUniqueName="[tbl_Reorder_Optimization].[Avg_Daily_Demand].[All]" dimensionUniqueName="[tbl_Reorder_Optimization]" displayFolder="" count="0" memberValueDatatype="5" unbalanced="0"/>
    <cacheHierarchy uniqueName="[tbl_Reorder_Optimization].[Lead_Time]" caption="Lead_Time" attribute="1" defaultMemberUniqueName="[tbl_Reorder_Optimization].[Lead_Time].[All]" allUniqueName="[tbl_Reorder_Optimization].[Lead_Time].[All]" dimensionUniqueName="[tbl_Reorder_Optimization]" displayFolder="" count="0" memberValueDatatype="20" unbalanced="0"/>
    <cacheHierarchy uniqueName="[tbl_Reorder_Optimization].[Safety_Stock]" caption="Safety_Stock" attribute="1" defaultMemberUniqueName="[tbl_Reorder_Optimization].[Safety_Stock].[All]" allUniqueName="[tbl_Reorder_Optimization].[Safety_Stock].[All]" dimensionUniqueName="[tbl_Reorder_Optimization]" displayFolder="" count="0" memberValueDatatype="5" unbalanced="0"/>
    <cacheHierarchy uniqueName="[tbl_Reorder_Optimization].[Reorder_Point]" caption="Reorder_Point" attribute="1" defaultMemberUniqueName="[tbl_Reorder_Optimization].[Reorder_Point].[All]" allUniqueName="[tbl_Reorder_Optimization].[Reorder_Point].[All]" dimensionUniqueName="[tbl_Reorder_Optimization]" displayFolder="" count="0" memberValueDatatype="20" unbalanced="0"/>
    <cacheHierarchy uniqueName="[tbl_Reorder_Optimization].[Current_Stock]" caption="Current_Stock" attribute="1" defaultMemberUniqueName="[tbl_Reorder_Optimization].[Current_Stock].[All]" allUniqueName="[tbl_Reorder_Optimization].[Current_Stock].[All]" dimensionUniqueName="[tbl_Reorder_Optimization]" displayFolder="" count="0" memberValueDatatype="20" unbalanced="0"/>
    <cacheHierarchy uniqueName="[tbl_Reorder_Optimization].[EOQ]" caption="EOQ" attribute="1" defaultMemberUniqueName="[tbl_Reorder_Optimization].[EOQ].[All]" allUniqueName="[tbl_Reorder_Optimization].[EOQ].[All]" dimensionUniqueName="[tbl_Reorder_Optimization]" displayFolder="" count="0" memberValueDatatype="5" unbalanced="0"/>
    <cacheHierarchy uniqueName="[tbl_Reorder_Optimization].[Action]" caption="Action" attribute="1" defaultMemberUniqueName="[tbl_Reorder_Optimization].[Action].[All]" allUniqueName="[tbl_Reorder_Optimization].[Action].[All]" dimensionUniqueName="[tbl_Reorder_Optimization]" displayFolder="" count="0" memberValueDatatype="130" unbalanced="0"/>
    <cacheHierarchy uniqueName="[tbl_Reorder_Optimization].[Reorder_flag]" caption="Reorder_flag" attribute="1" defaultMemberUniqueName="[tbl_Reorder_Optimization].[Reorder_flag].[All]" allUniqueName="[tbl_Reorder_Optimization].[Reorder_flag].[All]" dimensionUniqueName="[tbl_Reorder_Optimization]" displayFolder="" count="0" memberValueDatatype="20" unbalanced="0"/>
    <cacheHierarchy uniqueName="[tbl_Transactions].[Transaction_ID]" caption="Transaction_ID" attribute="1" defaultMemberUniqueName="[tbl_Transactions].[Transaction_ID].[All]" allUniqueName="[tbl_Transactions].[Transaction_ID].[All]" dimensionUniqueName="[tbl_Transactions]" displayFolder="" count="0" memberValueDatatype="130" unbalanced="0"/>
    <cacheHierarchy uniqueName="[tbl_Transactions].[Transaction Date]" caption="Transaction Date" attribute="1" time="1" defaultMemberUniqueName="[tbl_Transactions].[Transaction Date].[All]" allUniqueName="[tbl_Transactions].[Transaction Date].[All]" dimensionUniqueName="[tbl_Transactions]" displayFolder="" count="0" memberValueDatatype="7" unbalanced="0"/>
    <cacheHierarchy uniqueName="[tbl_Transactions].[Product ID]" caption="Product ID" attribute="1" defaultMemberUniqueName="[tbl_Transactions].[Product ID].[All]" allUniqueName="[tbl_Transactions].[Product ID].[All]" dimensionUniqueName="[tbl_Transactions]" displayFolder="" count="0" memberValueDatatype="130" unbalanced="0"/>
    <cacheHierarchy uniqueName="[tbl_Transactions].[Transaction Type]" caption="Transaction Type" attribute="1" defaultMemberUniqueName="[tbl_Transactions].[Transaction Type].[All]" allUniqueName="[tbl_Transactions].[Transaction Type].[All]" dimensionUniqueName="[tbl_Transactions]" displayFolder="" count="0" memberValueDatatype="130" unbalanced="0"/>
    <cacheHierarchy uniqueName="[tbl_Transactions].[Quantity]" caption="Quantity" attribute="1" defaultMemberUniqueName="[tbl_Transactions].[Quantity].[All]" allUniqueName="[tbl_Transactions].[Quantity].[All]" dimensionUniqueName="[tbl_Transactions]" displayFolder="" count="0" memberValueDatatype="20" unbalanced="0"/>
    <cacheHierarchy uniqueName="[tbl_Transactions].[Location]" caption="Location" attribute="1" defaultMemberUniqueName="[tbl_Transactions].[Location].[All]" allUniqueName="[tbl_Transactions].[Location].[All]" dimensionUniqueName="[tbl_Transactions]" displayFolder="" count="0" memberValueDatatype="130" unbalanced="0"/>
    <cacheHierarchy uniqueName="[Measures].[Sum of Inventory_Value]" caption="Sum of Inventory_Value" measure="1" displayFolder="" measureGroup="tbl_Inventory_Status" count="0">
      <extLst>
        <ext xmlns:x15="http://schemas.microsoft.com/office/spreadsheetml/2010/11/main" uri="{B97F6D7D-B522-45F9-BDA1-12C45D357490}">
          <x15:cacheHierarchy aggregatedColumn="9"/>
        </ext>
      </extLst>
    </cacheHierarchy>
    <cacheHierarchy uniqueName="[Measures].[Sum of Avg_Daily_Demand]" caption="Sum of Avg_Daily_Demand" measure="1" displayFolder="" measureGroup="tbl_Demand_Analysis" count="0">
      <extLst>
        <ext xmlns:x15="http://schemas.microsoft.com/office/spreadsheetml/2010/11/main" uri="{B97F6D7D-B522-45F9-BDA1-12C45D357490}">
          <x15:cacheHierarchy aggregatedColumn="1"/>
        </ext>
      </extLst>
    </cacheHierarchy>
    <cacheHierarchy uniqueName="[Measures].[Sum of Unit_Cost]" caption="Sum of Unit_Cost" measure="1" displayFolder="" measureGroup="tbl_Inventory_Status" count="0">
      <extLst>
        <ext xmlns:x15="http://schemas.microsoft.com/office/spreadsheetml/2010/11/main" uri="{B97F6D7D-B522-45F9-BDA1-12C45D357490}">
          <x15:cacheHierarchy aggregatedColumn="8"/>
        </ext>
      </extLst>
    </cacheHierarchy>
    <cacheHierarchy uniqueName="[Measures].[Sum of Reorder_flag]" caption="Sum of Reorder_flag" measure="1" displayFolder="" measureGroup="tbl_Reorder_Optimization" count="0">
      <extLst>
        <ext xmlns:x15="http://schemas.microsoft.com/office/spreadsheetml/2010/11/main" uri="{B97F6D7D-B522-45F9-BDA1-12C45D357490}">
          <x15:cacheHierarchy aggregatedColumn="28"/>
        </ext>
      </extLst>
    </cacheHierarchy>
    <cacheHierarchy uniqueName="[Measures].[Count of Avg_Daily_Demand]" caption="Count of Avg_Daily_Demand" measure="1" displayFolder="" measureGroup="tbl_Demand_Analysis" count="0">
      <extLst>
        <ext xmlns:x15="http://schemas.microsoft.com/office/spreadsheetml/2010/11/main" uri="{B97F6D7D-B522-45F9-BDA1-12C45D357490}">
          <x15:cacheHierarchy aggregatedColumn="1"/>
        </ext>
      </extLst>
    </cacheHierarchy>
    <cacheHierarchy uniqueName="[Measures].[Sum of Current_Stock]" caption="Sum of Current_Stock" measure="1" displayFolder="" measureGroup="tbl_Reorder_Optimization" count="0">
      <extLst>
        <ext xmlns:x15="http://schemas.microsoft.com/office/spreadsheetml/2010/11/main" uri="{B97F6D7D-B522-45F9-BDA1-12C45D357490}">
          <x15:cacheHierarchy aggregatedColumn="25"/>
        </ext>
      </extLst>
    </cacheHierarchy>
    <cacheHierarchy uniqueName="[Measures].[Sum of Reorder_Point]" caption="Sum of Reorder_Point" measure="1" displayFolder="" measureGroup="tbl_Reorder_Optimization" count="0">
      <extLst>
        <ext xmlns:x15="http://schemas.microsoft.com/office/spreadsheetml/2010/11/main" uri="{B97F6D7D-B522-45F9-BDA1-12C45D357490}">
          <x15:cacheHierarchy aggregatedColumn="24"/>
        </ext>
      </extLst>
    </cacheHierarchy>
    <cacheHierarchy uniqueName="[Measures].[Sum of Avg_Daily_Demand 2]" caption="Sum of Avg_Daily_Demand 2" measure="1" displayFolder="" measureGroup="tbl_Reorder_Optimization" count="0">
      <extLst>
        <ext xmlns:x15="http://schemas.microsoft.com/office/spreadsheetml/2010/11/main" uri="{B97F6D7D-B522-45F9-BDA1-12C45D357490}">
          <x15:cacheHierarchy aggregatedColumn="21"/>
        </ext>
      </extLst>
    </cacheHierarchy>
    <cacheHierarchy uniqueName="[Measures].[Sum of Unit_Cost 2]" caption="Sum of Unit_Cost 2" measure="1" displayFolder="" measureGroup="tbl_Products" count="0">
      <extLst>
        <ext xmlns:x15="http://schemas.microsoft.com/office/spreadsheetml/2010/11/main" uri="{B97F6D7D-B522-45F9-BDA1-12C45D357490}">
          <x15:cacheHierarchy aggregatedColumn="15"/>
        </ext>
      </extLst>
    </cacheHierarchy>
    <cacheHierarchy uniqueName="[Measures].[Average of Avg_Daily_Demand]" caption="Average of Avg_Daily_Demand" measure="1" displayFolder="" measureGroup="tbl_Reorder_Optimization" count="0">
      <extLst>
        <ext xmlns:x15="http://schemas.microsoft.com/office/spreadsheetml/2010/11/main" uri="{B97F6D7D-B522-45F9-BDA1-12C45D357490}">
          <x15:cacheHierarchy aggregatedColumn="21"/>
        </ext>
      </extLst>
    </cacheHierarchy>
    <cacheHierarchy uniqueName="[Measures].[Average of Unit_Cost]" caption="Average of Unit_Cost" measure="1" displayFolder="" measureGroup="tbl_Products" count="0">
      <extLst>
        <ext xmlns:x15="http://schemas.microsoft.com/office/spreadsheetml/2010/11/main" uri="{B97F6D7D-B522-45F9-BDA1-12C45D357490}">
          <x15:cacheHierarchy aggregatedColumn="15"/>
        </ext>
      </extLst>
    </cacheHierarchy>
    <cacheHierarchy uniqueName="[Measures].[Count of Action]" caption="Count of Action" measure="1" displayFolder="" measureGroup="tbl_Reorder_Optimization" count="0">
      <extLst>
        <ext xmlns:x15="http://schemas.microsoft.com/office/spreadsheetml/2010/11/main" uri="{B97F6D7D-B522-45F9-BDA1-12C45D357490}">
          <x15:cacheHierarchy aggregatedColumn="27"/>
        </ext>
      </extLst>
    </cacheHierarchy>
    <cacheHierarchy uniqueName="[Measures].[Count of Reorder_flag]" caption="Count of Reorder_flag" measure="1" displayFolder="" measureGroup="tbl_Reorder_Optimization" count="0">
      <extLst>
        <ext xmlns:x15="http://schemas.microsoft.com/office/spreadsheetml/2010/11/main" uri="{B97F6D7D-B522-45F9-BDA1-12C45D357490}">
          <x15:cacheHierarchy aggregatedColumn="28"/>
        </ext>
      </extLst>
    </cacheHierarchy>
    <cacheHierarchy uniqueName="[Measures].[Average of Unit_Cost 2]" caption="Average of Unit_Cost 2" measure="1" displayFolder="" measureGroup="tbl_Inventory_Status" count="0">
      <extLst>
        <ext xmlns:x15="http://schemas.microsoft.com/office/spreadsheetml/2010/11/main" uri="{B97F6D7D-B522-45F9-BDA1-12C45D357490}">
          <x15:cacheHierarchy aggregatedColumn="8"/>
        </ext>
      </extLst>
    </cacheHierarchy>
    <cacheHierarchy uniqueName="[Measures].[Inventory Gap measure]" caption="Inventory Gap measure" measure="1" displayFolder="" measureGroup="tbl_Products" count="0"/>
    <cacheHierarchy uniqueName="[Measures].[__XL_Count tbl_Products]" caption="__XL_Count tbl_Products" measure="1" displayFolder="" measureGroup="tbl_Products" count="0" hidden="1"/>
    <cacheHierarchy uniqueName="[Measures].[__XL_Count tbl_Transactions]" caption="__XL_Count tbl_Transactions" measure="1" displayFolder="" measureGroup="tbl_Transactions" count="0" hidden="1"/>
    <cacheHierarchy uniqueName="[Measures].[__XL_Count tbl_Inventory_Status]" caption="__XL_Count tbl_Inventory_Status" measure="1" displayFolder="" measureGroup="tbl_Inventory_Status" count="0" hidden="1"/>
    <cacheHierarchy uniqueName="[Measures].[__XL_Count tbl_Demand_Analysis]" caption="__XL_Count tbl_Demand_Analysis" measure="1" displayFolder="" measureGroup="tbl_Demand_Analysis" count="0" hidden="1"/>
    <cacheHierarchy uniqueName="[Measures].[__XL_Count tbl_Reorder_Optimization]" caption="__XL_Count tbl_Reorder_Optimization" measure="1" displayFolder="" measureGroup="tbl_Reorder_Optimization"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slicerData="1" pivotCacheId="1800990594"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8911BE78-0099-4EB5-A366-4019B2A58654}" name="PivotTable12" cacheId="2" applyNumberFormats="0" applyBorderFormats="0" applyFontFormats="0" applyPatternFormats="0" applyAlignmentFormats="0" applyWidthHeightFormats="1" dataCaption="Values" tag="43c11c25-2d63-4cf2-a186-e5256766c2fd" updatedVersion="8" minRefreshableVersion="3" useAutoFormatting="1" subtotalHiddenItems="1" itemPrintTitles="1" createdVersion="8" indent="0" outline="1" outlineData="1" multipleFieldFilters="0" chartFormat="12">
  <location ref="E391:F402" firstHeaderRow="1" firstDataRow="1" firstDataCol="1" rowPageCount="1" colPageCount="1"/>
  <pivotFields count="5">
    <pivotField dataField="1" subtotalTop="0" showAll="0" defaultSubtotal="0"/>
    <pivotField axis="axisPage" allDrilled="1" subtotalTop="0" showAll="0" dataSourceSort="1" defaultSubtotal="0" defaultAttributeDrillState="1"/>
    <pivotField allDrilled="1" subtotalTop="0" showAll="0" measureFilter="1" sortType="a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allDrilled="1" subtotalTop="0" showAll="0" sortType="ascending" defaultSubtotal="0" defaultAttributeDrillState="1">
      <items count="6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s>
      <autoSortScope>
        <pivotArea dataOnly="0" outline="0" fieldPosition="0">
          <references count="1">
            <reference field="4294967294" count="1" selected="0">
              <x v="0"/>
            </reference>
          </references>
        </pivotArea>
      </autoSortScope>
    </pivotField>
    <pivotField axis="axisRow" allDrilled="1" subtotalTop="0" showAll="0" measureFilter="1" sortType="a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s>
  <rowFields count="1">
    <field x="4"/>
  </rowFields>
  <rowItems count="11">
    <i>
      <x v="2"/>
    </i>
    <i>
      <x v="4"/>
    </i>
    <i>
      <x v="9"/>
    </i>
    <i>
      <x v="3"/>
    </i>
    <i>
      <x v="1"/>
    </i>
    <i>
      <x v="7"/>
    </i>
    <i>
      <x v="5"/>
    </i>
    <i>
      <x v="8"/>
    </i>
    <i>
      <x/>
    </i>
    <i>
      <x v="6"/>
    </i>
    <i t="grand">
      <x/>
    </i>
  </rowItems>
  <colItems count="1">
    <i/>
  </colItems>
  <pageFields count="1">
    <pageField fld="1" hier="28" name="[tbl_Reorder_Optimization].[Reorder_flag].&amp;[1]" cap="1"/>
  </pageFields>
  <dataFields count="1">
    <dataField fld="0" subtotal="count" baseField="0" baseItem="0"/>
  </dataFields>
  <chartFormats count="3">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 chart="6" format="4" series="1">
      <pivotArea type="data" outline="0" fieldPosition="0">
        <references count="1">
          <reference field="4294967294" count="1" selected="0">
            <x v="0"/>
          </reference>
        </references>
      </pivotArea>
    </chartFormat>
  </chartFormats>
  <pivotHierarchies count="5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2">
    <filter fld="2" type="count" id="1" iMeasureHier="49">
      <autoFilter ref="A1">
        <filterColumn colId="0">
          <top10 val="10" filterVal="10"/>
        </filterColumn>
      </autoFilter>
    </filter>
    <filter fld="4" type="count" id="2" iMeasureHier="49">
      <autoFilter ref="A1">
        <filterColumn colId="0">
          <top10 val="10" filterVal="10"/>
        </filterColumn>
      </autoFilter>
    </filter>
  </filters>
  <rowHierarchiesUsage count="1">
    <rowHierarchyUsage hierarchyUsage="1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bl_Products]"/>
        <x15:activeTabTopLevelEntity name="[tbl_Reorder_Optimization]"/>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5FA18881-AF20-41B2-BC81-4B2C42CC0C4B}" name="PivotTable11" cacheId="1" applyNumberFormats="0" applyBorderFormats="0" applyFontFormats="0" applyPatternFormats="0" applyAlignmentFormats="0" applyWidthHeightFormats="1" dataCaption="Values" tag="8a7ca078-4f31-45bd-bd12-070225fc3557" updatedVersion="8" minRefreshableVersion="3" useAutoFormatting="1" subtotalHiddenItems="1" itemPrintTitles="1" createdVersion="8" indent="0" outline="1" outlineData="1" multipleFieldFilters="0">
  <location ref="F370:F371"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fld="0" subtotal="count" baseField="0" baseItem="0"/>
  </dataFields>
  <pivotHierarchies count="5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tbl_Products].[Category].&amp;[Grains]"/>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bl_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3FC2B359-87E8-40F4-AB71-FDEA5ACA4423}" name="PivotTable4" cacheId="64" applyNumberFormats="0" applyBorderFormats="0" applyFontFormats="0" applyPatternFormats="0" applyAlignmentFormats="0" applyWidthHeightFormats="1" dataCaption="Values" tag="9c24e662-b1b4-473a-a5ef-e0deb0b24d60" updatedVersion="8" minRefreshableVersion="3" useAutoFormatting="1" subtotalHiddenItems="1" itemPrintTitles="1" createdVersion="8" indent="0" outline="1" outlineData="1" multipleFieldFilters="0" chartFormat="39">
  <location ref="E66:G74" firstHeaderRow="0" firstDataRow="1" firstDataCol="1"/>
  <pivotFields count="3">
    <pivotField dataField="1" subtotalTop="0" showAll="0" defaultSubtotal="0"/>
    <pivotField dataField="1" subtotalTop="0" showAll="0" defaultSubtotal="0"/>
    <pivotField axis="axisRow" allDrilled="1" subtotalTop="0" showAll="0" dataSourceSort="1" defaultSubtotal="0" defaultAttributeDrillState="1">
      <items count="7">
        <item x="0"/>
        <item x="1"/>
        <item x="2"/>
        <item x="3"/>
        <item x="4"/>
        <item x="5"/>
        <item x="6"/>
      </items>
    </pivotField>
  </pivotFields>
  <rowFields count="1">
    <field x="2"/>
  </rowFields>
  <rowItems count="8">
    <i>
      <x/>
    </i>
    <i>
      <x v="1"/>
    </i>
    <i>
      <x v="2"/>
    </i>
    <i>
      <x v="3"/>
    </i>
    <i>
      <x v="4"/>
    </i>
    <i>
      <x v="5"/>
    </i>
    <i>
      <x v="6"/>
    </i>
    <i t="grand">
      <x/>
    </i>
  </rowItems>
  <colFields count="1">
    <field x="-2"/>
  </colFields>
  <colItems count="2">
    <i>
      <x/>
    </i>
    <i i="1">
      <x v="1"/>
    </i>
  </colItems>
  <dataFields count="2">
    <dataField name="Sum of Current_Stock" fld="0" baseField="0" baseItem="0"/>
    <dataField name="Sum of Reorder_Point" fld="1" baseField="0" baseItem="0"/>
  </dataFields>
  <chartFormats count="4">
    <chartFormat chart="3" format="4" series="1">
      <pivotArea type="data" outline="0" fieldPosition="0">
        <references count="1">
          <reference field="4294967294" count="1" selected="0">
            <x v="0"/>
          </reference>
        </references>
      </pivotArea>
    </chartFormat>
    <chartFormat chart="3" format="5" series="1">
      <pivotArea type="data" outline="0" fieldPosition="0">
        <references count="1">
          <reference field="4294967294" count="1" selected="0">
            <x v="1"/>
          </reference>
        </references>
      </pivotArea>
    </chartFormat>
    <chartFormat chart="20" format="12" series="1">
      <pivotArea type="data" outline="0" fieldPosition="0">
        <references count="1">
          <reference field="4294967294" count="1" selected="0">
            <x v="0"/>
          </reference>
        </references>
      </pivotArea>
    </chartFormat>
    <chartFormat chart="20" format="13" series="1">
      <pivotArea type="data" outline="0" fieldPosition="0">
        <references count="1">
          <reference field="4294967294" count="1" selected="0">
            <x v="1"/>
          </reference>
        </references>
      </pivotArea>
    </chartFormat>
  </chartFormats>
  <pivotHierarchies count="5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3"/>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bl_Products]"/>
        <x15:activeTabTopLevelEntity name="[tbl_Reorder_Optimization]"/>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EC38C867-61D3-49B9-8F0D-66F8C326510C}" name="PivotTable3" cacheId="70" applyNumberFormats="0" applyBorderFormats="0" applyFontFormats="0" applyPatternFormats="0" applyAlignmentFormats="0" applyWidthHeightFormats="1" dataCaption="Values" tag="345308b9-698a-4457-b1e8-eb89da1bc3e3" updatedVersion="8" minRefreshableVersion="3" useAutoFormatting="1" subtotalHiddenItems="1" itemPrintTitles="1" createdVersion="8" indent="0" outline="1" outlineData="1" multipleFieldFilters="0" chartFormat="22">
  <location ref="E48:F56" firstHeaderRow="1" firstDataRow="1" firstDataCol="1"/>
  <pivotFields count="3">
    <pivotField allDrilled="1" subtotalTop="0" showAll="0" measureFilter="1" sortType="a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dataField="1" subtotalTop="0" showAll="0" defaultSubtotal="0"/>
    <pivotField axis="axisRow" allDrilled="1" subtotalTop="0" showAll="0" sortType="ascending" defaultSubtotal="0" defaultAttributeDrillState="1">
      <items count="7">
        <item x="0"/>
        <item x="1"/>
        <item x="2"/>
        <item x="3"/>
        <item x="4"/>
        <item x="5"/>
        <item x="6"/>
      </items>
      <autoSortScope>
        <pivotArea dataOnly="0" outline="0" fieldPosition="0">
          <references count="1">
            <reference field="4294967294" count="1" selected="0">
              <x v="0"/>
            </reference>
          </references>
        </pivotArea>
      </autoSortScope>
    </pivotField>
  </pivotFields>
  <rowFields count="1">
    <field x="2"/>
  </rowFields>
  <rowItems count="8">
    <i>
      <x v="4"/>
    </i>
    <i>
      <x v="1"/>
    </i>
    <i>
      <x/>
    </i>
    <i>
      <x v="3"/>
    </i>
    <i>
      <x v="5"/>
    </i>
    <i>
      <x v="2"/>
    </i>
    <i>
      <x v="6"/>
    </i>
    <i t="grand">
      <x/>
    </i>
  </rowItems>
  <colItems count="1">
    <i/>
  </colItems>
  <dataFields count="1">
    <dataField name="Sum of Avg_Daily_Demand" fld="1" baseField="0" baseItem="0"/>
  </dataFields>
  <chartFormats count="3">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 chart="19" format="6" series="1">
      <pivotArea type="data" outline="0" fieldPosition="0">
        <references count="1">
          <reference field="4294967294" count="1" selected="0">
            <x v="0"/>
          </reference>
        </references>
      </pivotArea>
    </chartFormat>
  </chartFormats>
  <pivotHierarchies count="5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Sum of Avg_Daily_Demand"/>
    <pivotHierarchy dragToData="1"/>
    <pivotHierarchy dragToData="1"/>
    <pivotHierarchy dragToData="1" caption="Count of Avg_Daily_Demand"/>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0" type="count" id="1" iMeasureHier="36">
      <autoFilter ref="A1">
        <filterColumn colId="0">
          <top10 val="10" filterVal="10"/>
        </filterColumn>
      </autoFilter>
    </filter>
  </filters>
  <rowHierarchiesUsage count="1">
    <rowHierarchyUsage hierarchyUsage="1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bl_Products]"/>
        <x15:activeTabTopLevelEntity name="[tbl_Demand_Analysi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B745F963-6618-4CE7-B023-85633D272C97}" name="PivotTable2" cacheId="0" applyNumberFormats="0" applyBorderFormats="0" applyFontFormats="0" applyPatternFormats="0" applyAlignmentFormats="0" applyWidthHeightFormats="1" dataCaption="Values" tag="355ee0d1-7a61-4cf2-841f-c0b74431c4d6" updatedVersion="8" minRefreshableVersion="3" useAutoFormatting="1" itemPrintTitles="1" createdVersion="8" indent="0" outline="1" outlineData="1" multipleFieldFilters="0" chartFormat="3">
  <location ref="E31:F39" firstHeaderRow="1" firstDataRow="1" firstDataCol="1"/>
  <pivotFields count="2">
    <pivotField axis="axisRow" allDrilled="1" subtotalTop="0" showAll="0" dataSourceSort="1" defaultSubtotal="0" defaultAttributeDrillState="1">
      <items count="7">
        <item x="0"/>
        <item x="1"/>
        <item x="2"/>
        <item x="3"/>
        <item x="4"/>
        <item x="5"/>
        <item x="6"/>
      </items>
    </pivotField>
    <pivotField dataField="1" subtotalTop="0" showAll="0" defaultSubtotal="0"/>
  </pivotFields>
  <rowFields count="1">
    <field x="0"/>
  </rowFields>
  <rowItems count="8">
    <i>
      <x/>
    </i>
    <i>
      <x v="1"/>
    </i>
    <i>
      <x v="2"/>
    </i>
    <i>
      <x v="3"/>
    </i>
    <i>
      <x v="4"/>
    </i>
    <i>
      <x v="5"/>
    </i>
    <i>
      <x v="6"/>
    </i>
    <i t="grand">
      <x/>
    </i>
  </rowItems>
  <colItems count="1">
    <i/>
  </colItems>
  <dataFields count="1">
    <dataField name="Sum of Reorder_flag" fld="1" baseField="0" baseItem="0"/>
  </dataFields>
  <formats count="6">
    <format dxfId="16">
      <pivotArea type="all" dataOnly="0" outline="0" fieldPosition="0"/>
    </format>
    <format dxfId="15">
      <pivotArea outline="0" collapsedLevelsAreSubtotals="1" fieldPosition="0"/>
    </format>
    <format dxfId="14">
      <pivotArea field="0" type="button" dataOnly="0" labelOnly="1" outline="0" axis="axisRow" fieldPosition="0"/>
    </format>
    <format dxfId="13">
      <pivotArea dataOnly="0" labelOnly="1" fieldPosition="0">
        <references count="1">
          <reference field="0" count="0"/>
        </references>
      </pivotArea>
    </format>
    <format dxfId="12">
      <pivotArea dataOnly="0" labelOnly="1" grandRow="1" outline="0" fieldPosition="0"/>
    </format>
    <format dxfId="11">
      <pivotArea dataOnly="0" labelOnly="1" outline="0" axis="axisValues" fieldPosition="0"/>
    </format>
  </formats>
  <chartFormats count="1">
    <chartFormat chart="0" format="0" series="1">
      <pivotArea type="data" outline="0" fieldPosition="0">
        <references count="1">
          <reference field="4294967294" count="1" selected="0">
            <x v="0"/>
          </reference>
        </references>
      </pivotArea>
    </chartFormat>
  </chartFormats>
  <pivotHierarchies count="5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bl_Demand_Analysis]"/>
        <x15:activeTabTopLevelEntity name="[tbl_Inventory_Status]"/>
        <x15:activeTabTopLevelEntity name="[tbl_Products]"/>
        <x15:activeTabTopLevelEntity name="[tbl_Reorder_Optimization]"/>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AF423728-05C5-468F-94A2-F5B5AD9D12F4}" name="PivotTable1" cacheId="3" applyNumberFormats="0" applyBorderFormats="0" applyFontFormats="0" applyPatternFormats="0" applyAlignmentFormats="0" applyWidthHeightFormats="1" dataCaption="Values" tag="244e6a0d-f23f-476f-9984-2812b6da25a5" updatedVersion="8" minRefreshableVersion="3" useAutoFormatting="1" itemPrintTitles="1" createdVersion="8" indent="0" outline="1" outlineData="1" multipleFieldFilters="0" chartFormat="25">
  <location ref="E14:F22" firstHeaderRow="1" firstDataRow="1" firstDataCol="1"/>
  <pivotFields count="2">
    <pivotField axis="axisRow" allDrilled="1" subtotalTop="0" showAll="0" sortType="ascending" defaultSubtotal="0" defaultAttributeDrillState="1">
      <items count="7">
        <item x="0"/>
        <item x="1"/>
        <item x="2"/>
        <item x="3"/>
        <item x="4"/>
        <item x="5"/>
        <item x="6"/>
      </items>
      <autoSortScope>
        <pivotArea dataOnly="0" outline="0" fieldPosition="0">
          <references count="1">
            <reference field="4294967294" count="1" selected="0">
              <x v="0"/>
            </reference>
          </references>
        </pivotArea>
      </autoSortScope>
    </pivotField>
    <pivotField dataField="1" subtotalTop="0" showAll="0" defaultSubtotal="0"/>
  </pivotFields>
  <rowFields count="1">
    <field x="0"/>
  </rowFields>
  <rowItems count="8">
    <i>
      <x/>
    </i>
    <i>
      <x v="3"/>
    </i>
    <i>
      <x v="1"/>
    </i>
    <i>
      <x v="4"/>
    </i>
    <i>
      <x v="5"/>
    </i>
    <i>
      <x v="2"/>
    </i>
    <i>
      <x v="6"/>
    </i>
    <i t="grand">
      <x/>
    </i>
  </rowItems>
  <colItems count="1">
    <i/>
  </colItems>
  <dataFields count="1">
    <dataField name="Sum of Inventory_Value" fld="1" baseField="0" baseItem="0"/>
  </dataFields>
  <chartFormats count="16">
    <chartFormat chart="3" format="0" series="1">
      <pivotArea type="data" outline="0" fieldPosition="0">
        <references count="1">
          <reference field="4294967294" count="1" selected="0">
            <x v="0"/>
          </reference>
        </references>
      </pivotArea>
    </chartFormat>
    <chartFormat chart="3" format="1">
      <pivotArea type="data" outline="0" fieldPosition="0">
        <references count="2">
          <reference field="4294967294" count="1" selected="0">
            <x v="0"/>
          </reference>
          <reference field="0" count="1" selected="0">
            <x v="0"/>
          </reference>
        </references>
      </pivotArea>
    </chartFormat>
    <chartFormat chart="3" format="3">
      <pivotArea type="data" outline="0" fieldPosition="0">
        <references count="2">
          <reference field="4294967294" count="1" selected="0">
            <x v="0"/>
          </reference>
          <reference field="0" count="1" selected="0">
            <x v="1"/>
          </reference>
        </references>
      </pivotArea>
    </chartFormat>
    <chartFormat chart="3" format="6">
      <pivotArea type="data" outline="0" fieldPosition="0">
        <references count="2">
          <reference field="4294967294" count="1" selected="0">
            <x v="0"/>
          </reference>
          <reference field="0" count="1" selected="0">
            <x v="2"/>
          </reference>
        </references>
      </pivotArea>
    </chartFormat>
    <chartFormat chart="3" format="7">
      <pivotArea type="data" outline="0" fieldPosition="0">
        <references count="2">
          <reference field="4294967294" count="1" selected="0">
            <x v="0"/>
          </reference>
          <reference field="0" count="1" selected="0">
            <x v="6"/>
          </reference>
        </references>
      </pivotArea>
    </chartFormat>
    <chartFormat chart="24" format="41" series="1">
      <pivotArea type="data" outline="0" fieldPosition="0">
        <references count="1">
          <reference field="4294967294" count="1" selected="0">
            <x v="0"/>
          </reference>
        </references>
      </pivotArea>
    </chartFormat>
    <chartFormat chart="24" format="42">
      <pivotArea type="data" outline="0" fieldPosition="0">
        <references count="2">
          <reference field="4294967294" count="1" selected="0">
            <x v="0"/>
          </reference>
          <reference field="0" count="1" selected="0">
            <x v="0"/>
          </reference>
        </references>
      </pivotArea>
    </chartFormat>
    <chartFormat chart="24" format="44">
      <pivotArea type="data" outline="0" fieldPosition="0">
        <references count="2">
          <reference field="4294967294" count="1" selected="0">
            <x v="0"/>
          </reference>
          <reference field="0" count="1" selected="0">
            <x v="1"/>
          </reference>
        </references>
      </pivotArea>
    </chartFormat>
    <chartFormat chart="24" format="47">
      <pivotArea type="data" outline="0" fieldPosition="0">
        <references count="2">
          <reference field="4294967294" count="1" selected="0">
            <x v="0"/>
          </reference>
          <reference field="0" count="1" selected="0">
            <x v="2"/>
          </reference>
        </references>
      </pivotArea>
    </chartFormat>
    <chartFormat chart="24" format="48">
      <pivotArea type="data" outline="0" fieldPosition="0">
        <references count="2">
          <reference field="4294967294" count="1" selected="0">
            <x v="0"/>
          </reference>
          <reference field="0" count="1" selected="0">
            <x v="6"/>
          </reference>
        </references>
      </pivotArea>
    </chartFormat>
    <chartFormat chart="24" format="49">
      <pivotArea type="data" outline="0" fieldPosition="0">
        <references count="2">
          <reference field="4294967294" count="1" selected="0">
            <x v="0"/>
          </reference>
          <reference field="0" count="1" selected="0">
            <x v="3"/>
          </reference>
        </references>
      </pivotArea>
    </chartFormat>
    <chartFormat chart="24" format="50">
      <pivotArea type="data" outline="0" fieldPosition="0">
        <references count="2">
          <reference field="4294967294" count="1" selected="0">
            <x v="0"/>
          </reference>
          <reference field="0" count="1" selected="0">
            <x v="4"/>
          </reference>
        </references>
      </pivotArea>
    </chartFormat>
    <chartFormat chart="24" format="51">
      <pivotArea type="data" outline="0" fieldPosition="0">
        <references count="2">
          <reference field="4294967294" count="1" selected="0">
            <x v="0"/>
          </reference>
          <reference field="0" count="1" selected="0">
            <x v="5"/>
          </reference>
        </references>
      </pivotArea>
    </chartFormat>
    <chartFormat chart="3" format="8">
      <pivotArea type="data" outline="0" fieldPosition="0">
        <references count="2">
          <reference field="4294967294" count="1" selected="0">
            <x v="0"/>
          </reference>
          <reference field="0" count="1" selected="0">
            <x v="3"/>
          </reference>
        </references>
      </pivotArea>
    </chartFormat>
    <chartFormat chart="3" format="9">
      <pivotArea type="data" outline="0" fieldPosition="0">
        <references count="2">
          <reference field="4294967294" count="1" selected="0">
            <x v="0"/>
          </reference>
          <reference field="0" count="1" selected="0">
            <x v="4"/>
          </reference>
        </references>
      </pivotArea>
    </chartFormat>
    <chartFormat chart="3" format="10">
      <pivotArea type="data" outline="0" fieldPosition="0">
        <references count="2">
          <reference field="4294967294" count="1" selected="0">
            <x v="0"/>
          </reference>
          <reference field="0" count="1" selected="0">
            <x v="5"/>
          </reference>
        </references>
      </pivotArea>
    </chartFormat>
  </chartFormats>
  <pivotHierarchies count="5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bl_Inventory_Statu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9650A318-3958-4AD3-B091-0EC2015A8464}" name="PivotTable5" cacheId="67" applyNumberFormats="0" applyBorderFormats="0" applyFontFormats="0" applyPatternFormats="0" applyAlignmentFormats="0" applyWidthHeightFormats="1" dataCaption="Values" tag="dbb0a1a6-1a4f-4f9f-a75c-67d57864ed4a" updatedVersion="8" minRefreshableVersion="3" useAutoFormatting="1" subtotalHiddenItems="1" itemPrintTitles="1" createdVersion="8" indent="0" outline="1" outlineData="1" multipleFieldFilters="0" chartFormat="28">
  <location ref="E85:F88" firstHeaderRow="1" firstDataRow="1" firstDataCol="1"/>
  <pivotFields count="3">
    <pivotField axis="axisRow" allDrilled="1" subtotalTop="0" showAll="0" dataSourceSort="1" defaultSubtotal="0" defaultAttributeDrillState="1">
      <items count="2">
        <item x="0"/>
        <item x="1"/>
      </items>
    </pivotField>
    <pivotField dataField="1" subtotalTop="0" showAll="0" defaultSubtotal="0"/>
    <pivotField allDrilled="1" subtotalTop="0" showAll="0" dataSourceSort="1" defaultSubtotal="0" defaultAttributeDrillState="1"/>
  </pivotFields>
  <rowFields count="1">
    <field x="0"/>
  </rowFields>
  <rowItems count="3">
    <i>
      <x/>
    </i>
    <i>
      <x v="1"/>
    </i>
    <i t="grand">
      <x/>
    </i>
  </rowItems>
  <colItems count="1">
    <i/>
  </colItems>
  <dataFields count="1">
    <dataField name="Count of Reorder_flag" fld="1" subtotal="count" baseField="0" baseItem="1"/>
  </dataFields>
  <chartFormats count="9">
    <chartFormat chart="4" format="0" series="1">
      <pivotArea type="data" outline="0" fieldPosition="0">
        <references count="1">
          <reference field="4294967294" count="1" selected="0">
            <x v="0"/>
          </reference>
        </references>
      </pivotArea>
    </chartFormat>
    <chartFormat chart="4" format="1">
      <pivotArea type="data" outline="0" fieldPosition="0">
        <references count="2">
          <reference field="4294967294" count="1" selected="0">
            <x v="0"/>
          </reference>
          <reference field="0" count="1" selected="0">
            <x v="1"/>
          </reference>
        </references>
      </pivotArea>
    </chartFormat>
    <chartFormat chart="4" format="2">
      <pivotArea type="data" outline="0" fieldPosition="0">
        <references count="2">
          <reference field="4294967294" count="1" selected="0">
            <x v="0"/>
          </reference>
          <reference field="0" count="1" selected="0">
            <x v="0"/>
          </reference>
        </references>
      </pivotArea>
    </chartFormat>
    <chartFormat chart="8" format="6" series="1">
      <pivotArea type="data" outline="0" fieldPosition="0">
        <references count="1">
          <reference field="4294967294" count="1" selected="0">
            <x v="0"/>
          </reference>
        </references>
      </pivotArea>
    </chartFormat>
    <chartFormat chart="8" format="7">
      <pivotArea type="data" outline="0" fieldPosition="0">
        <references count="2">
          <reference field="4294967294" count="1" selected="0">
            <x v="0"/>
          </reference>
          <reference field="0" count="1" selected="0">
            <x v="0"/>
          </reference>
        </references>
      </pivotArea>
    </chartFormat>
    <chartFormat chart="8" format="8">
      <pivotArea type="data" outline="0" fieldPosition="0">
        <references count="2">
          <reference field="4294967294" count="1" selected="0">
            <x v="0"/>
          </reference>
          <reference field="0" count="1" selected="0">
            <x v="1"/>
          </reference>
        </references>
      </pivotArea>
    </chartFormat>
    <chartFormat chart="24" format="18" series="1">
      <pivotArea type="data" outline="0" fieldPosition="0">
        <references count="1">
          <reference field="4294967294" count="1" selected="0">
            <x v="0"/>
          </reference>
        </references>
      </pivotArea>
    </chartFormat>
    <chartFormat chart="24" format="19">
      <pivotArea type="data" outline="0" fieldPosition="0">
        <references count="2">
          <reference field="4294967294" count="1" selected="0">
            <x v="0"/>
          </reference>
          <reference field="0" count="1" selected="0">
            <x v="0"/>
          </reference>
        </references>
      </pivotArea>
    </chartFormat>
    <chartFormat chart="24" format="20">
      <pivotArea type="data" outline="0" fieldPosition="0">
        <references count="2">
          <reference field="4294967294" count="1" selected="0">
            <x v="0"/>
          </reference>
          <reference field="0" count="1" selected="0">
            <x v="1"/>
          </reference>
        </references>
      </pivotArea>
    </chartFormat>
  </chartFormats>
  <pivotHierarchies count="5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Average of Avg_Daily_Demand"/>
    <pivotHierarchy dragToData="1" caption="Average of Unit_Cost"/>
    <pivotHierarchy dragToData="1"/>
    <pivotHierarchy dragToData="1" caption="Count of Reorder_flag"/>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2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bl_Products]"/>
        <x15:activeTabTopLevelEntity name="[tbl_Reorder_Optimization]"/>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B04621FB-E55B-42FE-AD06-C4F2C736456C}" sourceName="[tbl_Products].[Category]">
  <pivotTables>
    <pivotTable tabId="10" name="PivotTable4"/>
    <pivotTable tabId="10" name="PivotTable5"/>
    <pivotTable tabId="10" name="PivotTable3"/>
  </pivotTables>
  <data>
    <olap pivotCacheId="1800990594">
      <levels count="2">
        <level uniqueName="[tbl_Products].[Category].[(All)]" sourceCaption="(All)" count="0"/>
        <level uniqueName="[tbl_Products].[Category].[Category]" sourceCaption="Category" count="7">
          <ranges>
            <range startItem="0">
              <i n="[tbl_Products].[Category].&amp;[Bakery]" c="Bakery"/>
              <i n="[tbl_Products].[Category].&amp;[Beverages]" c="Beverages"/>
              <i n="[tbl_Products].[Category].&amp;[Dairy]" c="Dairy"/>
              <i n="[tbl_Products].[Category].&amp;[Fruits]" c="Fruits"/>
              <i n="[tbl_Products].[Category].&amp;[Grains]" c="Grains"/>
              <i n="[tbl_Products].[Category].&amp;[Oils]" c="Oils"/>
              <i n="[tbl_Products].[Category].&amp;[Seafood]" c="Seafood"/>
            </range>
          </ranges>
        </level>
      </levels>
      <selections count="1">
        <selection n="[tbl_Products].[Category].[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xr10:uid="{41AC2CA5-AE70-48F9-BFD4-9938808415F9}" cache="Slicer_Category" caption="Category" level="1" rowHeight="2476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1" xr10:uid="{EBCBCFDD-A6EE-4E95-AAFF-D1F4427C3658}" cache="Slicer_Category" caption="Category" level="1" style="SlicerStyleDark1" rowHeight="2476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90949F77-C4DD-46CB-B519-73378967B431}" name="tbl_Products" displayName="tbl_Products" ref="A1:I122" totalsRowShown="0" headerRowDxfId="77" dataDxfId="75" headerRowBorderDxfId="76" tableBorderDxfId="74">
  <autoFilter ref="A1:I122" xr:uid="{90949F77-C4DD-46CB-B519-73378967B431}"/>
  <tableColumns count="9">
    <tableColumn id="1" xr3:uid="{E8D6DC86-81E2-4136-8200-5E2F589D5D5A}" name="Product_ID" dataDxfId="73"/>
    <tableColumn id="2" xr3:uid="{3E7BC42F-9546-466D-9E5A-D056A23A1B5B}" name="Product_Name_" dataDxfId="72"/>
    <tableColumn id="3" xr3:uid="{A9CBAD17-163A-429C-B310-C200EC0D6BAF}" name="Category" dataDxfId="71"/>
    <tableColumn id="4" xr3:uid="{703B8448-97FF-4C96-B443-1F9AFCCC805D}" name="Supplier_Name" dataDxfId="70"/>
    <tableColumn id="5" xr3:uid="{779D6C1B-844C-48CA-A06A-B1D827B017D7}" name="Unit_Cost" dataDxfId="69"/>
    <tableColumn id="6" xr3:uid="{59F53B6D-DBCF-40DB-B026-D1E38D4DAE8C}" name="Lead_Time_(Days)" dataDxfId="68"/>
    <tableColumn id="7" xr3:uid="{3E11F055-5558-4AF2-B51D-AE395B377BF1}" name="Minimum_Order_Quantity(MOQ)" dataDxfId="67"/>
    <tableColumn id="8" xr3:uid="{FCC3C8C6-4615-4257-9680-41F5A95CB214}" name="Holding_Cost_per_Unit(Monthly)" dataDxfId="66"/>
    <tableColumn id="9" xr3:uid="{7FA91835-A5D5-4B17-BB2A-9F3452836918}" name="Order_Cost_per_Unit" dataDxfId="65"/>
  </tableColumns>
  <tableStyleInfo name="TableStyleLight8"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4CF5BB2F-61C9-4535-8B44-048C4FE7A694}" name="tbl_Transactions" displayName="tbl_Transactions" ref="A1:F1112" totalsRowShown="0" headerRowDxfId="64" dataDxfId="63">
  <autoFilter ref="A1:F1112" xr:uid="{4CF5BB2F-61C9-4535-8B44-048C4FE7A694}"/>
  <tableColumns count="6">
    <tableColumn id="6" xr3:uid="{F077AE9F-A513-4B1D-8F55-243E58E4CF6F}" name="Transaction_ID" dataDxfId="62"/>
    <tableColumn id="1" xr3:uid="{E494BD01-F869-4A1D-8F9E-3B1DBD6C1258}" name="Transaction Date" dataDxfId="61"/>
    <tableColumn id="2" xr3:uid="{90CE17A0-2017-4D26-92C1-916F178FC33C}" name="Product ID" dataDxfId="60"/>
    <tableColumn id="3" xr3:uid="{175C1057-046F-408F-9A2D-1DE0380874D2}" name="Transaction Type" dataDxfId="59"/>
    <tableColumn id="4" xr3:uid="{FAFB310A-29EC-4173-B9A7-35FFB94A67B0}" name="Quantity" dataDxfId="58"/>
    <tableColumn id="5" xr3:uid="{4E39385C-A5DB-422A-B26F-A4DCC5A19BB4}" name=" Location" dataDxfId="57"/>
  </tableColumns>
  <tableStyleInfo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CCCD3500-09A2-463E-AF89-ACF4F84B30A2}" name="tbl_Inventory_Status" displayName="tbl_Inventory_Status" ref="A1:G123" totalsRowCount="1" headerRowDxfId="56" dataDxfId="54" totalsRowDxfId="52" headerRowBorderDxfId="55" tableBorderDxfId="53" totalsRowBorderDxfId="51">
  <autoFilter ref="A1:G122" xr:uid="{CCCD3500-09A2-463E-AF89-ACF4F84B30A2}"/>
  <tableColumns count="7">
    <tableColumn id="1" xr3:uid="{86FC3A79-A385-4579-AFDC-C4C5A97EFEF5}" name="Product_ID" dataDxfId="50" totalsRowDxfId="49"/>
    <tableColumn id="2" xr3:uid="{68BED5A1-0958-4E86-8164-33DB99B5E1F9}" name="Product_Name" dataDxfId="48" totalsRowDxfId="47"/>
    <tableColumn id="3" xr3:uid="{D78ED424-37E9-4537-A401-60CE75974ECB}" name="Category" dataDxfId="46" totalsRowDxfId="45"/>
    <tableColumn id="4" xr3:uid="{5217EC45-D8DB-462E-A0A9-112C28820CA4}" name="Current_Stock" dataDxfId="44" totalsRowDxfId="43">
      <calculatedColumnFormula>SUMIFS(tbl_Transactions[Quantity],tbl_Transactions[Product ID], A2,tbl_Transactions[Transaction Type],"IN")-SUMIFS(tbl_Transactions[Quantity],tbl_Transactions[Product ID], A2,tbl_Transactions[Transaction Type],"OUT")</calculatedColumnFormula>
    </tableColumn>
    <tableColumn id="5" xr3:uid="{6C3E5C75-99B4-4813-95F0-F61192FA1AE4}" name="Unit_Cost" dataDxfId="42" totalsRowDxfId="41"/>
    <tableColumn id="6" xr3:uid="{A39A15AA-5EFA-4601-8B1D-8884E335FE54}" name="Inventory_Value" dataDxfId="40" totalsRowDxfId="39">
      <calculatedColumnFormula>IFERROR(D2*E2,0)</calculatedColumnFormula>
    </tableColumn>
    <tableColumn id="7" xr3:uid="{502E109F-F7FF-4101-88CA-534F6470D08F}" name="Stock_Status" dataDxfId="38" totalsRowDxfId="37">
      <calculatedColumnFormula>IF(D2&lt;=0,"Out of Stock",IF(D2&lt;100,"Low Stock","OK"))</calculatedColumnFormula>
    </tableColumn>
  </tableColumns>
  <tableStyleInfo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2F8AD4BE-789D-4E14-9BE3-CAD349FC01E0}" name="tbl_Demand_Analysis" displayName="tbl_Demand_Analysis" ref="A1:D122" totalsRowShown="0" headerRowDxfId="36" dataDxfId="35">
  <autoFilter ref="A1:D122" xr:uid="{2F8AD4BE-789D-4E14-9BE3-CAD349FC01E0}"/>
  <tableColumns count="4">
    <tableColumn id="1" xr3:uid="{53F3037C-AAFD-4EA2-AC60-C2E524455B7C}" name="Product_ID" dataDxfId="34"/>
    <tableColumn id="2" xr3:uid="{B082099E-D290-4C14-9E3F-85CEE6429D7B}" name="Avg_Daily_Demand" dataDxfId="33">
      <calculatedColumnFormula>IF(COUNTIFS(tbl_Transactions[Product ID], A2,tbl_Transactions[Transaction Type], "OUT")=0,0,ABS(SUMIFS(tbl_Transactions[Quantity],tbl_Transactions[Product ID], A2,tbl_Transactions[Transaction Type],"OUT"))/COUNTIFS(tbl_Transactions[Product ID], A2,tbl_Transactions[Transaction Type], "OUT"))</calculatedColumnFormula>
    </tableColumn>
    <tableColumn id="3" xr3:uid="{FF51A985-2E02-463C-B637-B273A387E54B}" name="Monthly_Demand" dataDxfId="32">
      <calculatedColumnFormula>B2*30</calculatedColumnFormula>
    </tableColumn>
    <tableColumn id="4" xr3:uid="{D91F7211-295D-4236-A2B5-BB8F7062403B}" name="Max_Daily_Demand" dataDxfId="31">
      <calculatedColumnFormula>_xlfn.MAXIFS(tbl_Transactions[Quantity],tbl_Transactions[Product ID],A2,tbl_Transactions[Transaction Type],"OUT")</calculatedColumnFormula>
    </tableColumn>
  </tableColumns>
  <tableStyleInfo name="TableStyleLight8"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8563F898-3985-4746-8F0E-024DC3FEE438}" name="tbl_Reorder_Optimization" displayName="tbl_Reorder_Optimization" ref="A1:I122" totalsRowShown="0" headerRowDxfId="30" dataDxfId="28" headerRowBorderDxfId="29" tableBorderDxfId="27" totalsRowBorderDxfId="26">
  <autoFilter ref="A1:I122" xr:uid="{8563F898-3985-4746-8F0E-024DC3FEE438}"/>
  <tableColumns count="9">
    <tableColumn id="1" xr3:uid="{7CA2D596-77CF-4E14-88AC-00E1BDA13CF7}" name="Product_ID" dataDxfId="25"/>
    <tableColumn id="2" xr3:uid="{7F8B1075-21D6-441C-8505-B465BE8EAC7E}" name="Avg_Daily_Demand" dataDxfId="24">
      <calculatedColumnFormula>_xlfn.XLOOKUP(A2,tbl_Demand_Analysis[Product_ID],tbl_Demand_Analysis[Avg_Daily_Demand])</calculatedColumnFormula>
    </tableColumn>
    <tableColumn id="3" xr3:uid="{28BBEE6D-3765-464A-93BC-96025EA02182}" name="Lead_Time" dataDxfId="23">
      <calculatedColumnFormula array="1">_xlfn.XLOOKUP(A2,tbl_Demand_Analysis[Product_ID], tbl_Products[Lead_Time_(Days)])</calculatedColumnFormula>
    </tableColumn>
    <tableColumn id="4" xr3:uid="{8147D3DF-1889-4C8D-8406-AE60708F7CED}" name="Safety_Stock" dataDxfId="22">
      <calculatedColumnFormula>(_xlfn.XLOOKUP(A2, tbl_Demand_Analysis[Product_ID], tbl_Demand_Analysis[Max_Daily_Demand]) - B2) * C2</calculatedColumnFormula>
    </tableColumn>
    <tableColumn id="5" xr3:uid="{957D30BB-A576-471D-935C-4335D9C635AD}" name="Reorder_Point" dataDxfId="21">
      <calculatedColumnFormula>(B2*C2)+D2</calculatedColumnFormula>
    </tableColumn>
    <tableColumn id="6" xr3:uid="{3A1A1286-7C16-4F24-BC79-E69ACED59DFA}" name="Current_Stock" dataDxfId="20">
      <calculatedColumnFormula>_xlfn.XLOOKUP(A2,tbl_Inventory_Status[Product_ID], tbl_Inventory_Status[Current_Stock])</calculatedColumnFormula>
    </tableColumn>
    <tableColumn id="7" xr3:uid="{9FB0C94D-BE28-41FB-9429-28FE7FBAB05B}" name="EOQ" dataDxfId="19">
      <calculatedColumnFormula>SQRT((2*(B2*365)*_xlfn.XLOOKUP(A2,tbl_Products[Product_ID],tbl_Products[Order_Cost_per_Unit]))/(_xlfn.XLOOKUP(A2,tbl_Products[Product_ID], tbl_Products[Holding_Cost_per_Unit(Monthly)])*12))</calculatedColumnFormula>
    </tableColumn>
    <tableColumn id="8" xr3:uid="{CF0FD3A1-491F-4042-AFAA-19DC32BDF8E9}" name="Action" dataDxfId="18">
      <calculatedColumnFormula>IF(F2&lt;=E2,"REORDER","SUFFICIENT_STOCK")</calculatedColumnFormula>
    </tableColumn>
    <tableColumn id="9" xr3:uid="{103BD8DB-382E-4C50-99A4-12932C762519}" name="Reorder_flag" dataDxfId="17">
      <calculatedColumnFormula>IF(tbl_Reorder_Optimization[[#This Row],[Action]]="Sufficient_stock",0,1)</calculatedColumnFormula>
    </tableColumn>
  </tableColumns>
  <tableStyleInfo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7066A861-7C10-47E3-B035-EF191EEACBA4}" name="Table4" displayName="Table4" ref="D107:F228" totalsRowShown="0" headerRowBorderDxfId="10" tableBorderDxfId="9" totalsRowBorderDxfId="8">
  <autoFilter ref="D107:F228" xr:uid="{7066A861-7C10-47E3-B035-EF191EEACBA4}"/>
  <tableColumns count="3">
    <tableColumn id="1" xr3:uid="{A7B3AE9E-2F90-430E-BCFA-7731ED5A4957}" name="Product_Name_" dataDxfId="7"/>
    <tableColumn id="2" xr3:uid="{16A3F243-5266-40DC-8C7A-1659CF2EC127}" name="Avg_Daily_Demand" dataDxfId="6"/>
    <tableColumn id="3" xr3:uid="{CEA2FD17-8BBB-45A5-87A6-101BE37FEA76}" name="Unit_Cost" dataDxfId="5"/>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_rels/sheet5.xml.rels><?xml version="1.0" encoding="UTF-8" standalone="yes"?>
<Relationships xmlns="http://schemas.openxmlformats.org/package/2006/relationships"><Relationship Id="rId1" Type="http://schemas.openxmlformats.org/officeDocument/2006/relationships/table" Target="../tables/table5.xml"/></Relationships>
</file>

<file path=xl/worksheets/_rels/sheet6.xml.rels><?xml version="1.0" encoding="UTF-8" standalone="yes"?>
<Relationships xmlns="http://schemas.openxmlformats.org/package/2006/relationships"><Relationship Id="rId8" Type="http://schemas.openxmlformats.org/officeDocument/2006/relationships/drawing" Target="../drawings/drawing1.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10" Type="http://schemas.microsoft.com/office/2007/relationships/slicer" Target="../slicers/slicer1.xml"/><Relationship Id="rId4" Type="http://schemas.openxmlformats.org/officeDocument/2006/relationships/pivotTable" Target="../pivotTables/pivotTable4.xml"/><Relationship Id="rId9" Type="http://schemas.openxmlformats.org/officeDocument/2006/relationships/table" Target="../tables/table6.xml"/></Relationships>
</file>

<file path=xl/worksheets/_rels/sheet7.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B0AF80-EFD6-4143-978A-7229FF3FA0B5}">
  <sheetPr>
    <tabColor theme="9" tint="0.39997558519241921"/>
  </sheetPr>
  <dimension ref="A1:I128"/>
  <sheetViews>
    <sheetView zoomScale="83" workbookViewId="0">
      <selection activeCell="A128" sqref="A128:XFD128"/>
    </sheetView>
  </sheetViews>
  <sheetFormatPr defaultRowHeight="14.4" x14ac:dyDescent="0.3"/>
  <cols>
    <col min="1" max="1" width="15.6640625" customWidth="1"/>
    <col min="2" max="2" width="20.6640625" customWidth="1"/>
    <col min="3" max="3" width="21.5546875" customWidth="1"/>
    <col min="4" max="4" width="26" customWidth="1"/>
    <col min="5" max="5" width="14.77734375" customWidth="1"/>
    <col min="6" max="6" width="21.5546875" customWidth="1"/>
    <col min="7" max="7" width="32.44140625" customWidth="1"/>
    <col min="8" max="8" width="27.44140625" customWidth="1"/>
    <col min="9" max="9" width="24.77734375" customWidth="1"/>
  </cols>
  <sheetData>
    <row r="1" spans="1:9" x14ac:dyDescent="0.3">
      <c r="A1" s="11" t="s">
        <v>1033</v>
      </c>
      <c r="B1" s="11" t="s">
        <v>1049</v>
      </c>
      <c r="C1" s="11" t="s">
        <v>1</v>
      </c>
      <c r="D1" s="11" t="s">
        <v>2</v>
      </c>
      <c r="E1" s="11" t="s">
        <v>3</v>
      </c>
      <c r="F1" s="11" t="s">
        <v>1050</v>
      </c>
      <c r="G1" s="11" t="s">
        <v>1051</v>
      </c>
      <c r="H1" s="11" t="s">
        <v>2266</v>
      </c>
      <c r="I1" s="11" t="s">
        <v>1052</v>
      </c>
    </row>
    <row r="2" spans="1:9" x14ac:dyDescent="0.3">
      <c r="A2" s="1" t="s">
        <v>1083</v>
      </c>
      <c r="B2" s="1" t="s">
        <v>2428</v>
      </c>
      <c r="C2" s="1" t="s">
        <v>2416</v>
      </c>
      <c r="D2" s="1" t="s">
        <v>1084</v>
      </c>
      <c r="E2" s="2">
        <v>1.86</v>
      </c>
      <c r="F2" s="1">
        <v>7</v>
      </c>
      <c r="G2" s="1">
        <v>25</v>
      </c>
      <c r="H2" s="2">
        <v>0.19</v>
      </c>
      <c r="I2" s="2">
        <v>49</v>
      </c>
    </row>
    <row r="3" spans="1:9" x14ac:dyDescent="0.3">
      <c r="A3" s="1" t="s">
        <v>1085</v>
      </c>
      <c r="B3" s="1" t="s">
        <v>2429</v>
      </c>
      <c r="C3" s="1" t="s">
        <v>2417</v>
      </c>
      <c r="D3" s="1" t="s">
        <v>1086</v>
      </c>
      <c r="E3" s="2">
        <v>12.79</v>
      </c>
      <c r="F3" s="1">
        <v>8</v>
      </c>
      <c r="G3" s="1">
        <v>43</v>
      </c>
      <c r="H3" s="2">
        <v>1.28</v>
      </c>
      <c r="I3" s="2">
        <v>55</v>
      </c>
    </row>
    <row r="4" spans="1:9" x14ac:dyDescent="0.3">
      <c r="A4" s="1" t="s">
        <v>1087</v>
      </c>
      <c r="B4" s="1" t="s">
        <v>2430</v>
      </c>
      <c r="C4" s="1" t="s">
        <v>4</v>
      </c>
      <c r="D4" s="1" t="s">
        <v>1088</v>
      </c>
      <c r="E4" s="2">
        <v>10.029999999999999</v>
      </c>
      <c r="F4" s="1">
        <v>4</v>
      </c>
      <c r="G4" s="1">
        <v>22</v>
      </c>
      <c r="H4" s="2">
        <v>1</v>
      </c>
      <c r="I4" s="2">
        <v>74</v>
      </c>
    </row>
    <row r="5" spans="1:9" x14ac:dyDescent="0.3">
      <c r="A5" s="1" t="s">
        <v>1089</v>
      </c>
      <c r="B5" s="1" t="s">
        <v>5</v>
      </c>
      <c r="C5" s="1" t="s">
        <v>2416</v>
      </c>
      <c r="D5" s="1" t="s">
        <v>1084</v>
      </c>
      <c r="E5" s="2">
        <v>4.25</v>
      </c>
      <c r="F5" s="1">
        <v>2</v>
      </c>
      <c r="G5" s="1">
        <v>48</v>
      </c>
      <c r="H5" s="2">
        <v>0.43</v>
      </c>
      <c r="I5" s="2">
        <v>61</v>
      </c>
    </row>
    <row r="6" spans="1:9" x14ac:dyDescent="0.3">
      <c r="A6" s="1" t="s">
        <v>1090</v>
      </c>
      <c r="B6" s="1" t="s">
        <v>6</v>
      </c>
      <c r="C6" s="1" t="s">
        <v>2416</v>
      </c>
      <c r="D6" s="1" t="s">
        <v>1084</v>
      </c>
      <c r="E6" s="2">
        <v>2.69</v>
      </c>
      <c r="F6" s="1">
        <v>4</v>
      </c>
      <c r="G6" s="1">
        <v>43</v>
      </c>
      <c r="H6" s="2">
        <v>0.27</v>
      </c>
      <c r="I6" s="2">
        <v>78</v>
      </c>
    </row>
    <row r="7" spans="1:9" x14ac:dyDescent="0.3">
      <c r="A7" s="1" t="s">
        <v>1091</v>
      </c>
      <c r="B7" s="1" t="s">
        <v>7</v>
      </c>
      <c r="C7" s="1" t="s">
        <v>2416</v>
      </c>
      <c r="D7" s="1" t="s">
        <v>1092</v>
      </c>
      <c r="E7" s="2">
        <v>3.15</v>
      </c>
      <c r="F7" s="1">
        <v>5</v>
      </c>
      <c r="G7" s="1">
        <v>15</v>
      </c>
      <c r="H7" s="2">
        <v>0.32</v>
      </c>
      <c r="I7" s="2">
        <v>42</v>
      </c>
    </row>
    <row r="8" spans="1:9" x14ac:dyDescent="0.3">
      <c r="A8" s="1" t="s">
        <v>1093</v>
      </c>
      <c r="B8" s="1" t="s">
        <v>2431</v>
      </c>
      <c r="C8" s="1" t="s">
        <v>2418</v>
      </c>
      <c r="D8" s="1" t="s">
        <v>1094</v>
      </c>
      <c r="E8" s="2">
        <v>4.82</v>
      </c>
      <c r="F8" s="1">
        <v>9</v>
      </c>
      <c r="G8" s="1">
        <v>30</v>
      </c>
      <c r="H8" s="2">
        <v>0.48</v>
      </c>
      <c r="I8" s="2">
        <v>65</v>
      </c>
    </row>
    <row r="9" spans="1:9" x14ac:dyDescent="0.3">
      <c r="A9" s="1" t="s">
        <v>1095</v>
      </c>
      <c r="B9" s="1" t="s">
        <v>8</v>
      </c>
      <c r="C9" s="1" t="s">
        <v>9</v>
      </c>
      <c r="D9" s="1" t="s">
        <v>1096</v>
      </c>
      <c r="E9" s="2">
        <v>32.450000000000003</v>
      </c>
      <c r="F9" s="1">
        <v>6</v>
      </c>
      <c r="G9" s="1">
        <v>12</v>
      </c>
      <c r="H9" s="2">
        <v>3.25</v>
      </c>
      <c r="I9" s="2">
        <v>50</v>
      </c>
    </row>
    <row r="10" spans="1:9" x14ac:dyDescent="0.3">
      <c r="A10" s="1" t="s">
        <v>1097</v>
      </c>
      <c r="B10" s="1" t="s">
        <v>10</v>
      </c>
      <c r="C10" s="1" t="s">
        <v>4</v>
      </c>
      <c r="D10" s="1" t="s">
        <v>1098</v>
      </c>
      <c r="E10" s="2">
        <v>12.5</v>
      </c>
      <c r="F10" s="1">
        <v>3</v>
      </c>
      <c r="G10" s="1">
        <v>20</v>
      </c>
      <c r="H10" s="2">
        <v>1.25</v>
      </c>
      <c r="I10" s="2">
        <v>45</v>
      </c>
    </row>
    <row r="11" spans="1:9" x14ac:dyDescent="0.3">
      <c r="A11" s="1" t="s">
        <v>1099</v>
      </c>
      <c r="B11" s="1" t="s">
        <v>11</v>
      </c>
      <c r="C11" s="1" t="s">
        <v>4</v>
      </c>
      <c r="D11" s="1" t="s">
        <v>1100</v>
      </c>
      <c r="E11" s="2">
        <v>4.75</v>
      </c>
      <c r="F11" s="1">
        <v>2</v>
      </c>
      <c r="G11" s="1">
        <v>50</v>
      </c>
      <c r="H11" s="2">
        <v>0.48</v>
      </c>
      <c r="I11" s="2">
        <v>35</v>
      </c>
    </row>
    <row r="12" spans="1:9" x14ac:dyDescent="0.3">
      <c r="A12" s="1" t="s">
        <v>1101</v>
      </c>
      <c r="B12" s="1" t="s">
        <v>2432</v>
      </c>
      <c r="C12" s="1" t="s">
        <v>4</v>
      </c>
      <c r="D12" s="1" t="s">
        <v>1088</v>
      </c>
      <c r="E12" s="2">
        <v>8.9</v>
      </c>
      <c r="F12" s="1">
        <v>5</v>
      </c>
      <c r="G12" s="1">
        <v>25</v>
      </c>
      <c r="H12" s="2">
        <v>0.89</v>
      </c>
      <c r="I12" s="2">
        <v>60</v>
      </c>
    </row>
    <row r="13" spans="1:9" x14ac:dyDescent="0.3">
      <c r="A13" s="1" t="s">
        <v>1102</v>
      </c>
      <c r="B13" s="1" t="s">
        <v>2433</v>
      </c>
      <c r="C13" s="1" t="s">
        <v>2417</v>
      </c>
      <c r="D13" s="1" t="s">
        <v>1103</v>
      </c>
      <c r="E13" s="2">
        <v>22.3</v>
      </c>
      <c r="F13" s="1">
        <v>10</v>
      </c>
      <c r="G13" s="1">
        <v>15</v>
      </c>
      <c r="H13" s="2">
        <v>2.23</v>
      </c>
      <c r="I13" s="2">
        <v>75</v>
      </c>
    </row>
    <row r="14" spans="1:9" x14ac:dyDescent="0.3">
      <c r="A14" s="1" t="s">
        <v>1104</v>
      </c>
      <c r="B14" s="1" t="s">
        <v>12</v>
      </c>
      <c r="C14" s="1" t="s">
        <v>2416</v>
      </c>
      <c r="D14" s="1" t="s">
        <v>1105</v>
      </c>
      <c r="E14" s="2">
        <v>2.4</v>
      </c>
      <c r="F14" s="1">
        <v>4</v>
      </c>
      <c r="G14" s="1">
        <v>40</v>
      </c>
      <c r="H14" s="2">
        <v>0.24</v>
      </c>
      <c r="I14" s="2">
        <v>30</v>
      </c>
    </row>
    <row r="15" spans="1:9" x14ac:dyDescent="0.3">
      <c r="A15" s="1" t="s">
        <v>1106</v>
      </c>
      <c r="B15" s="1" t="s">
        <v>2434</v>
      </c>
      <c r="C15" s="1" t="s">
        <v>13</v>
      </c>
      <c r="D15" s="1" t="s">
        <v>1107</v>
      </c>
      <c r="E15" s="2">
        <v>3.5</v>
      </c>
      <c r="F15" s="1">
        <v>3</v>
      </c>
      <c r="G15" s="1">
        <v>50</v>
      </c>
      <c r="H15" s="2">
        <v>0.35</v>
      </c>
      <c r="I15" s="2">
        <v>40</v>
      </c>
    </row>
    <row r="16" spans="1:9" x14ac:dyDescent="0.3">
      <c r="A16" s="1" t="s">
        <v>1108</v>
      </c>
      <c r="B16" s="1" t="s">
        <v>14</v>
      </c>
      <c r="C16" s="1" t="s">
        <v>2416</v>
      </c>
      <c r="D16" s="1" t="s">
        <v>1084</v>
      </c>
      <c r="E16" s="2">
        <v>2.1</v>
      </c>
      <c r="F16" s="1">
        <v>6</v>
      </c>
      <c r="G16" s="1">
        <v>30</v>
      </c>
      <c r="H16" s="2">
        <v>0.21</v>
      </c>
      <c r="I16" s="2">
        <v>45</v>
      </c>
    </row>
    <row r="17" spans="1:9" x14ac:dyDescent="0.3">
      <c r="A17" s="1" t="s">
        <v>1109</v>
      </c>
      <c r="B17" s="1" t="s">
        <v>15</v>
      </c>
      <c r="C17" s="1" t="s">
        <v>2416</v>
      </c>
      <c r="D17" s="1" t="s">
        <v>1092</v>
      </c>
      <c r="E17" s="2">
        <v>3.8</v>
      </c>
      <c r="F17" s="1">
        <v>7</v>
      </c>
      <c r="G17" s="1">
        <v>20</v>
      </c>
      <c r="H17" s="2">
        <v>0.38</v>
      </c>
      <c r="I17" s="2">
        <v>55</v>
      </c>
    </row>
    <row r="18" spans="1:9" x14ac:dyDescent="0.3">
      <c r="A18" s="1" t="s">
        <v>1110</v>
      </c>
      <c r="B18" s="1" t="s">
        <v>2435</v>
      </c>
      <c r="C18" s="1" t="s">
        <v>4</v>
      </c>
      <c r="D18" s="1" t="s">
        <v>1100</v>
      </c>
      <c r="E18" s="2">
        <v>6.5</v>
      </c>
      <c r="F18" s="1">
        <v>4</v>
      </c>
      <c r="G18" s="1">
        <v>10</v>
      </c>
      <c r="H18" s="2">
        <v>0.65</v>
      </c>
      <c r="I18" s="2">
        <v>50</v>
      </c>
    </row>
    <row r="19" spans="1:9" x14ac:dyDescent="0.3">
      <c r="A19" s="1" t="s">
        <v>1111</v>
      </c>
      <c r="B19" s="1" t="s">
        <v>2436</v>
      </c>
      <c r="C19" s="1" t="s">
        <v>4</v>
      </c>
      <c r="D19" s="1" t="s">
        <v>1098</v>
      </c>
      <c r="E19" s="2">
        <v>9.1999999999999993</v>
      </c>
      <c r="F19" s="1">
        <v>3</v>
      </c>
      <c r="G19" s="1">
        <v>15</v>
      </c>
      <c r="H19" s="2">
        <v>0.92</v>
      </c>
      <c r="I19" s="2">
        <v>48</v>
      </c>
    </row>
    <row r="20" spans="1:9" x14ac:dyDescent="0.3">
      <c r="A20" s="1" t="s">
        <v>1112</v>
      </c>
      <c r="B20" s="1" t="s">
        <v>16</v>
      </c>
      <c r="C20" s="1" t="s">
        <v>2416</v>
      </c>
      <c r="D20" s="1" t="s">
        <v>1105</v>
      </c>
      <c r="E20" s="2">
        <v>2.75</v>
      </c>
      <c r="F20" s="1">
        <v>5</v>
      </c>
      <c r="G20" s="1">
        <v>35</v>
      </c>
      <c r="H20" s="2">
        <v>0.28000000000000003</v>
      </c>
      <c r="I20" s="2">
        <v>38</v>
      </c>
    </row>
    <row r="21" spans="1:9" x14ac:dyDescent="0.3">
      <c r="A21" s="1" t="s">
        <v>1113</v>
      </c>
      <c r="B21" s="1" t="s">
        <v>2437</v>
      </c>
      <c r="C21" s="1" t="s">
        <v>2418</v>
      </c>
      <c r="D21" s="1" t="s">
        <v>1114</v>
      </c>
      <c r="E21" s="2">
        <v>5.4</v>
      </c>
      <c r="F21" s="1">
        <v>8</v>
      </c>
      <c r="G21" s="1">
        <v>25</v>
      </c>
      <c r="H21" s="2">
        <v>0.54</v>
      </c>
      <c r="I21" s="2">
        <v>62</v>
      </c>
    </row>
    <row r="22" spans="1:9" x14ac:dyDescent="0.3">
      <c r="A22" s="1" t="s">
        <v>1115</v>
      </c>
      <c r="B22" s="1" t="s">
        <v>18</v>
      </c>
      <c r="C22" s="1" t="s">
        <v>9</v>
      </c>
      <c r="D22" s="1" t="s">
        <v>1116</v>
      </c>
      <c r="E22" s="2">
        <v>15.6</v>
      </c>
      <c r="F22" s="1">
        <v>7</v>
      </c>
      <c r="G22" s="1">
        <v>10</v>
      </c>
      <c r="H22" s="2">
        <v>1.56</v>
      </c>
      <c r="I22" s="2">
        <v>70</v>
      </c>
    </row>
    <row r="23" spans="1:9" x14ac:dyDescent="0.3">
      <c r="A23" s="1" t="s">
        <v>1117</v>
      </c>
      <c r="B23" s="1" t="s">
        <v>2438</v>
      </c>
      <c r="C23" s="1" t="s">
        <v>2417</v>
      </c>
      <c r="D23" s="1" t="s">
        <v>1119</v>
      </c>
      <c r="E23" s="2">
        <v>18.399999999999999</v>
      </c>
      <c r="F23" s="1">
        <v>9</v>
      </c>
      <c r="G23" s="1">
        <v>20</v>
      </c>
      <c r="H23" s="2">
        <v>1.84</v>
      </c>
      <c r="I23" s="2">
        <v>68</v>
      </c>
    </row>
    <row r="24" spans="1:9" x14ac:dyDescent="0.3">
      <c r="A24" s="1" t="s">
        <v>1120</v>
      </c>
      <c r="B24" s="1" t="s">
        <v>2439</v>
      </c>
      <c r="C24" s="1" t="s">
        <v>4</v>
      </c>
      <c r="D24" s="1" t="s">
        <v>1100</v>
      </c>
      <c r="E24" s="2">
        <v>4.2</v>
      </c>
      <c r="F24" s="1">
        <v>4</v>
      </c>
      <c r="G24" s="1">
        <v>40</v>
      </c>
      <c r="H24" s="2">
        <v>0.42</v>
      </c>
      <c r="I24" s="2">
        <v>32</v>
      </c>
    </row>
    <row r="25" spans="1:9" x14ac:dyDescent="0.3">
      <c r="A25" s="1" t="s">
        <v>1122</v>
      </c>
      <c r="B25" s="1" t="s">
        <v>35</v>
      </c>
      <c r="C25" s="1" t="s">
        <v>2416</v>
      </c>
      <c r="D25" s="1" t="s">
        <v>1084</v>
      </c>
      <c r="E25" s="2">
        <v>2.9</v>
      </c>
      <c r="F25" s="1">
        <v>3</v>
      </c>
      <c r="G25" s="1">
        <v>30</v>
      </c>
      <c r="H25" s="2">
        <v>0.28999999999999998</v>
      </c>
      <c r="I25" s="2">
        <v>44</v>
      </c>
    </row>
    <row r="26" spans="1:9" x14ac:dyDescent="0.3">
      <c r="A26" s="1" t="s">
        <v>1123</v>
      </c>
      <c r="B26" s="1" t="s">
        <v>2440</v>
      </c>
      <c r="C26" s="1" t="s">
        <v>13</v>
      </c>
      <c r="D26" s="1" t="s">
        <v>1125</v>
      </c>
      <c r="E26" s="2">
        <v>5.0999999999999996</v>
      </c>
      <c r="F26" s="1">
        <v>2</v>
      </c>
      <c r="G26" s="1">
        <v>25</v>
      </c>
      <c r="H26" s="2">
        <v>0.51</v>
      </c>
      <c r="I26" s="2">
        <v>52</v>
      </c>
    </row>
    <row r="27" spans="1:9" x14ac:dyDescent="0.3">
      <c r="A27" s="1" t="s">
        <v>1126</v>
      </c>
      <c r="B27" s="1" t="s">
        <v>1127</v>
      </c>
      <c r="C27" s="1" t="s">
        <v>9</v>
      </c>
      <c r="D27" s="1" t="s">
        <v>1128</v>
      </c>
      <c r="E27" s="2">
        <v>38.200000000000003</v>
      </c>
      <c r="F27" s="1">
        <v>8</v>
      </c>
      <c r="G27" s="1">
        <v>10</v>
      </c>
      <c r="H27" s="2">
        <v>3.82</v>
      </c>
      <c r="I27" s="2">
        <v>78</v>
      </c>
    </row>
    <row r="28" spans="1:9" x14ac:dyDescent="0.3">
      <c r="A28" s="1" t="s">
        <v>1129</v>
      </c>
      <c r="B28" s="1" t="s">
        <v>37</v>
      </c>
      <c r="C28" s="1" t="s">
        <v>9</v>
      </c>
      <c r="D28" s="1" t="s">
        <v>1096</v>
      </c>
      <c r="E28" s="2">
        <v>22.5</v>
      </c>
      <c r="F28" s="1">
        <v>5</v>
      </c>
      <c r="G28" s="1">
        <v>15</v>
      </c>
      <c r="H28" s="2">
        <v>2.25</v>
      </c>
      <c r="I28" s="2">
        <v>55</v>
      </c>
    </row>
    <row r="29" spans="1:9" x14ac:dyDescent="0.3">
      <c r="A29" s="1" t="s">
        <v>1130</v>
      </c>
      <c r="B29" s="1" t="s">
        <v>1131</v>
      </c>
      <c r="C29" s="1" t="s">
        <v>13</v>
      </c>
      <c r="D29" s="1" t="s">
        <v>1107</v>
      </c>
      <c r="E29" s="2">
        <v>2.2000000000000002</v>
      </c>
      <c r="F29" s="1">
        <v>1</v>
      </c>
      <c r="G29" s="1">
        <v>60</v>
      </c>
      <c r="H29" s="2">
        <v>0.22</v>
      </c>
      <c r="I29" s="2">
        <v>25</v>
      </c>
    </row>
    <row r="30" spans="1:9" x14ac:dyDescent="0.3">
      <c r="A30" s="1" t="s">
        <v>1132</v>
      </c>
      <c r="B30" s="1" t="s">
        <v>2441</v>
      </c>
      <c r="C30" s="1" t="s">
        <v>17</v>
      </c>
      <c r="D30" s="1" t="s">
        <v>1133</v>
      </c>
      <c r="E30" s="2">
        <v>12.4</v>
      </c>
      <c r="F30" s="1">
        <v>10</v>
      </c>
      <c r="G30" s="1">
        <v>20</v>
      </c>
      <c r="H30" s="2">
        <v>1.24</v>
      </c>
      <c r="I30" s="2">
        <v>65</v>
      </c>
    </row>
    <row r="31" spans="1:9" x14ac:dyDescent="0.3">
      <c r="A31" s="1" t="s">
        <v>1134</v>
      </c>
      <c r="B31" s="1" t="s">
        <v>1135</v>
      </c>
      <c r="C31" s="1" t="s">
        <v>9</v>
      </c>
      <c r="D31" s="1" t="s">
        <v>1116</v>
      </c>
      <c r="E31" s="2">
        <v>44.9</v>
      </c>
      <c r="F31" s="1">
        <v>9</v>
      </c>
      <c r="G31" s="1">
        <v>5</v>
      </c>
      <c r="H31" s="2">
        <v>4.49</v>
      </c>
      <c r="I31" s="2">
        <v>85</v>
      </c>
    </row>
    <row r="32" spans="1:9" x14ac:dyDescent="0.3">
      <c r="A32" s="1" t="s">
        <v>1136</v>
      </c>
      <c r="B32" s="1" t="s">
        <v>2442</v>
      </c>
      <c r="C32" s="1" t="s">
        <v>13</v>
      </c>
      <c r="D32" s="1" t="s">
        <v>1137</v>
      </c>
      <c r="E32" s="2">
        <v>4.5</v>
      </c>
      <c r="F32" s="1">
        <v>3</v>
      </c>
      <c r="G32" s="1">
        <v>30</v>
      </c>
      <c r="H32" s="2">
        <v>0.45</v>
      </c>
      <c r="I32" s="2">
        <v>40</v>
      </c>
    </row>
    <row r="33" spans="1:9" x14ac:dyDescent="0.3">
      <c r="A33" s="1" t="s">
        <v>1138</v>
      </c>
      <c r="B33" s="1" t="s">
        <v>1139</v>
      </c>
      <c r="C33" s="1" t="s">
        <v>2418</v>
      </c>
      <c r="D33" s="1" t="s">
        <v>1140</v>
      </c>
      <c r="E33" s="2">
        <v>3.2</v>
      </c>
      <c r="F33" s="1">
        <v>7</v>
      </c>
      <c r="G33" s="1">
        <v>40</v>
      </c>
      <c r="H33" s="2">
        <v>0.32</v>
      </c>
      <c r="I33" s="2">
        <v>50</v>
      </c>
    </row>
    <row r="34" spans="1:9" x14ac:dyDescent="0.3">
      <c r="A34" s="1" t="s">
        <v>1141</v>
      </c>
      <c r="B34" s="1" t="s">
        <v>2443</v>
      </c>
      <c r="C34" s="1" t="s">
        <v>4</v>
      </c>
      <c r="D34" s="1" t="s">
        <v>1098</v>
      </c>
      <c r="E34" s="2">
        <v>5.8</v>
      </c>
      <c r="F34" s="1">
        <v>4</v>
      </c>
      <c r="G34" s="1">
        <v>20</v>
      </c>
      <c r="H34" s="2">
        <v>0.57999999999999996</v>
      </c>
      <c r="I34" s="2">
        <v>42</v>
      </c>
    </row>
    <row r="35" spans="1:9" x14ac:dyDescent="0.3">
      <c r="A35" s="1" t="s">
        <v>1142</v>
      </c>
      <c r="B35" s="1" t="s">
        <v>1143</v>
      </c>
      <c r="C35" s="1" t="s">
        <v>17</v>
      </c>
      <c r="D35" s="1" t="s">
        <v>1144</v>
      </c>
      <c r="E35" s="2">
        <v>2.5</v>
      </c>
      <c r="F35" s="1">
        <v>5</v>
      </c>
      <c r="G35" s="1">
        <v>100</v>
      </c>
      <c r="H35" s="2">
        <v>0.25</v>
      </c>
      <c r="I35" s="2">
        <v>30</v>
      </c>
    </row>
    <row r="36" spans="1:9" x14ac:dyDescent="0.3">
      <c r="A36" s="1" t="s">
        <v>1145</v>
      </c>
      <c r="B36" s="1" t="s">
        <v>36</v>
      </c>
      <c r="C36" s="1" t="s">
        <v>4</v>
      </c>
      <c r="D36" s="1" t="s">
        <v>1088</v>
      </c>
      <c r="E36" s="2">
        <v>7.1</v>
      </c>
      <c r="F36" s="1">
        <v>6</v>
      </c>
      <c r="G36" s="1">
        <v>25</v>
      </c>
      <c r="H36" s="2">
        <v>0.71</v>
      </c>
      <c r="I36" s="2">
        <v>55</v>
      </c>
    </row>
    <row r="37" spans="1:9" x14ac:dyDescent="0.3">
      <c r="A37" s="1" t="s">
        <v>1146</v>
      </c>
      <c r="B37" s="1" t="s">
        <v>34</v>
      </c>
      <c r="C37" s="1" t="s">
        <v>9</v>
      </c>
      <c r="D37" s="1" t="s">
        <v>1096</v>
      </c>
      <c r="E37" s="2">
        <v>28.5</v>
      </c>
      <c r="F37" s="1">
        <v>7</v>
      </c>
      <c r="G37" s="1">
        <v>12</v>
      </c>
      <c r="H37" s="2">
        <v>2.85</v>
      </c>
      <c r="I37" s="2">
        <v>72</v>
      </c>
    </row>
    <row r="38" spans="1:9" x14ac:dyDescent="0.3">
      <c r="A38" s="1" t="s">
        <v>1147</v>
      </c>
      <c r="B38" s="1" t="s">
        <v>19</v>
      </c>
      <c r="C38" s="1" t="s">
        <v>4</v>
      </c>
      <c r="D38" s="1" t="s">
        <v>1100</v>
      </c>
      <c r="E38" s="2">
        <v>3.95</v>
      </c>
      <c r="F38" s="1">
        <v>2</v>
      </c>
      <c r="G38" s="1">
        <v>60</v>
      </c>
      <c r="H38" s="2">
        <v>0.4</v>
      </c>
      <c r="I38" s="2">
        <v>30</v>
      </c>
    </row>
    <row r="39" spans="1:9" x14ac:dyDescent="0.3">
      <c r="A39" s="1" t="s">
        <v>1148</v>
      </c>
      <c r="B39" s="1" t="s">
        <v>1149</v>
      </c>
      <c r="C39" s="1" t="s">
        <v>9</v>
      </c>
      <c r="D39" s="1" t="s">
        <v>1128</v>
      </c>
      <c r="E39" s="2">
        <v>19.8</v>
      </c>
      <c r="F39" s="1">
        <v>6</v>
      </c>
      <c r="G39" s="1">
        <v>20</v>
      </c>
      <c r="H39" s="2">
        <v>1.98</v>
      </c>
      <c r="I39" s="2">
        <v>65</v>
      </c>
    </row>
    <row r="40" spans="1:9" x14ac:dyDescent="0.3">
      <c r="A40" s="1" t="s">
        <v>1150</v>
      </c>
      <c r="B40" s="1" t="s">
        <v>23</v>
      </c>
      <c r="C40" s="1" t="s">
        <v>9</v>
      </c>
      <c r="D40" s="1" t="s">
        <v>1116</v>
      </c>
      <c r="E40" s="2">
        <v>24.3</v>
      </c>
      <c r="F40" s="1">
        <v>5</v>
      </c>
      <c r="G40" s="1">
        <v>15</v>
      </c>
      <c r="H40" s="2">
        <v>2.4300000000000002</v>
      </c>
      <c r="I40" s="2">
        <v>68</v>
      </c>
    </row>
    <row r="41" spans="1:9" x14ac:dyDescent="0.3">
      <c r="A41" s="1" t="s">
        <v>1151</v>
      </c>
      <c r="B41" s="1" t="s">
        <v>1152</v>
      </c>
      <c r="C41" s="1" t="s">
        <v>9</v>
      </c>
      <c r="D41" s="1" t="s">
        <v>1128</v>
      </c>
      <c r="E41" s="2">
        <v>35.6</v>
      </c>
      <c r="F41" s="1">
        <v>8</v>
      </c>
      <c r="G41" s="1">
        <v>10</v>
      </c>
      <c r="H41" s="2">
        <v>3.56</v>
      </c>
      <c r="I41" s="2">
        <v>80</v>
      </c>
    </row>
    <row r="42" spans="1:9" x14ac:dyDescent="0.3">
      <c r="A42" s="1" t="s">
        <v>1153</v>
      </c>
      <c r="B42" s="1" t="s">
        <v>1154</v>
      </c>
      <c r="C42" s="1" t="s">
        <v>9</v>
      </c>
      <c r="D42" s="1" t="s">
        <v>1096</v>
      </c>
      <c r="E42" s="2">
        <v>42.1</v>
      </c>
      <c r="F42" s="1">
        <v>9</v>
      </c>
      <c r="G42" s="1">
        <v>8</v>
      </c>
      <c r="H42" s="2">
        <v>4.21</v>
      </c>
      <c r="I42" s="2">
        <v>88</v>
      </c>
    </row>
    <row r="43" spans="1:9" x14ac:dyDescent="0.3">
      <c r="A43" s="1" t="s">
        <v>1155</v>
      </c>
      <c r="B43" s="1" t="s">
        <v>2444</v>
      </c>
      <c r="C43" s="1" t="s">
        <v>2418</v>
      </c>
      <c r="D43" s="1" t="s">
        <v>1094</v>
      </c>
      <c r="E43" s="2">
        <v>4.0999999999999996</v>
      </c>
      <c r="F43" s="1">
        <v>8</v>
      </c>
      <c r="G43" s="1">
        <v>50</v>
      </c>
      <c r="H43" s="2">
        <v>0.41</v>
      </c>
      <c r="I43" s="2">
        <v>55</v>
      </c>
    </row>
    <row r="44" spans="1:9" x14ac:dyDescent="0.3">
      <c r="A44" s="1" t="s">
        <v>1156</v>
      </c>
      <c r="B44" s="1" t="s">
        <v>2445</v>
      </c>
      <c r="C44" s="1" t="s">
        <v>13</v>
      </c>
      <c r="D44" s="1" t="s">
        <v>1137</v>
      </c>
      <c r="E44" s="2">
        <v>6.2</v>
      </c>
      <c r="F44" s="1">
        <v>3</v>
      </c>
      <c r="G44" s="1">
        <v>15</v>
      </c>
      <c r="H44" s="2">
        <v>0.62</v>
      </c>
      <c r="I44" s="2">
        <v>48</v>
      </c>
    </row>
    <row r="45" spans="1:9" x14ac:dyDescent="0.3">
      <c r="A45" s="1" t="s">
        <v>1157</v>
      </c>
      <c r="B45" s="1" t="s">
        <v>1158</v>
      </c>
      <c r="C45" s="1" t="s">
        <v>9</v>
      </c>
      <c r="D45" s="1" t="s">
        <v>1128</v>
      </c>
      <c r="E45" s="2">
        <v>14.5</v>
      </c>
      <c r="F45" s="1">
        <v>6</v>
      </c>
      <c r="G45" s="1">
        <v>25</v>
      </c>
      <c r="H45" s="2">
        <v>1.45</v>
      </c>
      <c r="I45" s="2">
        <v>60</v>
      </c>
    </row>
    <row r="46" spans="1:9" x14ac:dyDescent="0.3">
      <c r="A46" s="1" t="s">
        <v>1159</v>
      </c>
      <c r="B46" s="1" t="s">
        <v>1160</v>
      </c>
      <c r="C46" s="1" t="s">
        <v>9</v>
      </c>
      <c r="D46" s="1" t="s">
        <v>1116</v>
      </c>
      <c r="E46" s="2">
        <v>12.8</v>
      </c>
      <c r="F46" s="1">
        <v>5</v>
      </c>
      <c r="G46" s="1">
        <v>30</v>
      </c>
      <c r="H46" s="2">
        <v>1.28</v>
      </c>
      <c r="I46" s="2">
        <v>52</v>
      </c>
    </row>
    <row r="47" spans="1:9" x14ac:dyDescent="0.3">
      <c r="A47" s="1" t="s">
        <v>1161</v>
      </c>
      <c r="B47" s="1" t="s">
        <v>1162</v>
      </c>
      <c r="C47" s="1" t="s">
        <v>9</v>
      </c>
      <c r="D47" s="1" t="s">
        <v>1096</v>
      </c>
      <c r="E47" s="2">
        <v>30.4</v>
      </c>
      <c r="F47" s="1">
        <v>7</v>
      </c>
      <c r="G47" s="1">
        <v>12</v>
      </c>
      <c r="H47" s="2">
        <v>3.04</v>
      </c>
      <c r="I47" s="2">
        <v>75</v>
      </c>
    </row>
    <row r="48" spans="1:9" x14ac:dyDescent="0.3">
      <c r="A48" s="1" t="s">
        <v>1163</v>
      </c>
      <c r="B48" s="1" t="s">
        <v>2446</v>
      </c>
      <c r="C48" s="1" t="s">
        <v>13</v>
      </c>
      <c r="D48" s="1" t="s">
        <v>1107</v>
      </c>
      <c r="E48" s="2">
        <v>2.5</v>
      </c>
      <c r="F48" s="1">
        <v>2</v>
      </c>
      <c r="G48" s="1">
        <v>50</v>
      </c>
      <c r="H48" s="2">
        <v>0.25</v>
      </c>
      <c r="I48" s="2">
        <v>30</v>
      </c>
    </row>
    <row r="49" spans="1:9" x14ac:dyDescent="0.3">
      <c r="A49" s="1" t="s">
        <v>1164</v>
      </c>
      <c r="B49" s="1" t="s">
        <v>20</v>
      </c>
      <c r="C49" s="1" t="s">
        <v>9</v>
      </c>
      <c r="D49" s="1" t="s">
        <v>1128</v>
      </c>
      <c r="E49" s="2">
        <v>18.899999999999999</v>
      </c>
      <c r="F49" s="1">
        <v>6</v>
      </c>
      <c r="G49" s="1">
        <v>15</v>
      </c>
      <c r="H49" s="2">
        <v>1.89</v>
      </c>
      <c r="I49" s="2">
        <v>64</v>
      </c>
    </row>
    <row r="50" spans="1:9" x14ac:dyDescent="0.3">
      <c r="A50" s="1" t="s">
        <v>1165</v>
      </c>
      <c r="B50" s="1" t="s">
        <v>2447</v>
      </c>
      <c r="C50" s="1" t="s">
        <v>17</v>
      </c>
      <c r="D50" s="1" t="s">
        <v>1167</v>
      </c>
      <c r="E50" s="2">
        <v>15.2</v>
      </c>
      <c r="F50" s="1">
        <v>10</v>
      </c>
      <c r="G50" s="1">
        <v>10</v>
      </c>
      <c r="H50" s="2">
        <v>1.52</v>
      </c>
      <c r="I50" s="2">
        <v>70</v>
      </c>
    </row>
    <row r="51" spans="1:9" x14ac:dyDescent="0.3">
      <c r="A51" s="1" t="s">
        <v>1168</v>
      </c>
      <c r="B51" s="1" t="s">
        <v>1169</v>
      </c>
      <c r="C51" s="1" t="s">
        <v>17</v>
      </c>
      <c r="D51" s="1" t="s">
        <v>1133</v>
      </c>
      <c r="E51" s="2">
        <v>4.8</v>
      </c>
      <c r="F51" s="1">
        <v>5</v>
      </c>
      <c r="G51" s="1">
        <v>40</v>
      </c>
      <c r="H51" s="2">
        <v>0.48</v>
      </c>
      <c r="I51" s="2">
        <v>45</v>
      </c>
    </row>
    <row r="52" spans="1:9" x14ac:dyDescent="0.3">
      <c r="A52" s="1" t="s">
        <v>1170</v>
      </c>
      <c r="B52" s="1" t="s">
        <v>2448</v>
      </c>
      <c r="C52" s="1" t="s">
        <v>17</v>
      </c>
      <c r="D52" s="1" t="s">
        <v>1144</v>
      </c>
      <c r="E52" s="2">
        <v>3.2</v>
      </c>
      <c r="F52" s="1">
        <v>4</v>
      </c>
      <c r="G52" s="1">
        <v>60</v>
      </c>
      <c r="H52" s="2">
        <v>0.32</v>
      </c>
      <c r="I52" s="2">
        <v>35</v>
      </c>
    </row>
    <row r="53" spans="1:9" x14ac:dyDescent="0.3">
      <c r="A53" s="1" t="s">
        <v>1172</v>
      </c>
      <c r="B53" s="1" t="s">
        <v>2449</v>
      </c>
      <c r="C53" s="1" t="s">
        <v>2417</v>
      </c>
      <c r="D53" s="1" t="s">
        <v>1119</v>
      </c>
      <c r="E53" s="2">
        <v>9.4</v>
      </c>
      <c r="F53" s="1">
        <v>7</v>
      </c>
      <c r="G53" s="1">
        <v>30</v>
      </c>
      <c r="H53" s="2">
        <v>0.94</v>
      </c>
      <c r="I53" s="2">
        <v>50</v>
      </c>
    </row>
    <row r="54" spans="1:9" x14ac:dyDescent="0.3">
      <c r="A54" s="1" t="s">
        <v>1173</v>
      </c>
      <c r="B54" s="1" t="s">
        <v>2450</v>
      </c>
      <c r="C54" s="1" t="s">
        <v>2417</v>
      </c>
      <c r="D54" s="1" t="s">
        <v>1086</v>
      </c>
      <c r="E54" s="2">
        <v>11.2</v>
      </c>
      <c r="F54" s="1">
        <v>8</v>
      </c>
      <c r="G54" s="1">
        <v>25</v>
      </c>
      <c r="H54" s="2">
        <v>1.1200000000000001</v>
      </c>
      <c r="I54" s="2">
        <v>58</v>
      </c>
    </row>
    <row r="55" spans="1:9" x14ac:dyDescent="0.3">
      <c r="A55" s="1" t="s">
        <v>1174</v>
      </c>
      <c r="B55" s="1" t="s">
        <v>2451</v>
      </c>
      <c r="C55" s="1" t="s">
        <v>4</v>
      </c>
      <c r="D55" s="1" t="s">
        <v>1098</v>
      </c>
      <c r="E55" s="2">
        <v>14.3</v>
      </c>
      <c r="F55" s="1">
        <v>6</v>
      </c>
      <c r="G55" s="1">
        <v>10</v>
      </c>
      <c r="H55" s="2">
        <v>1.43</v>
      </c>
      <c r="I55" s="2">
        <v>62</v>
      </c>
    </row>
    <row r="56" spans="1:9" x14ac:dyDescent="0.3">
      <c r="A56" s="1" t="s">
        <v>1176</v>
      </c>
      <c r="B56" s="1" t="s">
        <v>2452</v>
      </c>
      <c r="C56" s="1" t="s">
        <v>4</v>
      </c>
      <c r="D56" s="1" t="s">
        <v>1088</v>
      </c>
      <c r="E56" s="2">
        <v>8.5</v>
      </c>
      <c r="F56" s="1">
        <v>4</v>
      </c>
      <c r="G56" s="1">
        <v>20</v>
      </c>
      <c r="H56" s="2">
        <v>0.85</v>
      </c>
      <c r="I56" s="2">
        <v>55</v>
      </c>
    </row>
    <row r="57" spans="1:9" x14ac:dyDescent="0.3">
      <c r="A57" s="1" t="s">
        <v>1177</v>
      </c>
      <c r="B57" s="1" t="s">
        <v>2453</v>
      </c>
      <c r="C57" s="1" t="s">
        <v>4</v>
      </c>
      <c r="D57" s="1" t="s">
        <v>1098</v>
      </c>
      <c r="E57" s="2">
        <v>15.7</v>
      </c>
      <c r="F57" s="1">
        <v>7</v>
      </c>
      <c r="G57" s="1">
        <v>12</v>
      </c>
      <c r="H57" s="2">
        <v>1.57</v>
      </c>
      <c r="I57" s="2">
        <v>66</v>
      </c>
    </row>
    <row r="58" spans="1:9" x14ac:dyDescent="0.3">
      <c r="A58" s="1" t="s">
        <v>1179</v>
      </c>
      <c r="B58" s="1" t="s">
        <v>2454</v>
      </c>
      <c r="C58" s="1" t="s">
        <v>4</v>
      </c>
      <c r="D58" s="1" t="s">
        <v>1088</v>
      </c>
      <c r="E58" s="2">
        <v>9.8000000000000007</v>
      </c>
      <c r="F58" s="1">
        <v>5</v>
      </c>
      <c r="G58" s="1">
        <v>25</v>
      </c>
      <c r="H58" s="2">
        <v>0.98</v>
      </c>
      <c r="I58" s="2">
        <v>52</v>
      </c>
    </row>
    <row r="59" spans="1:9" x14ac:dyDescent="0.3">
      <c r="A59" s="1" t="s">
        <v>1180</v>
      </c>
      <c r="B59" s="1" t="s">
        <v>2455</v>
      </c>
      <c r="C59" s="1" t="s">
        <v>4</v>
      </c>
      <c r="D59" s="1" t="s">
        <v>1100</v>
      </c>
      <c r="E59" s="2">
        <v>11.4</v>
      </c>
      <c r="F59" s="1">
        <v>6</v>
      </c>
      <c r="G59" s="1">
        <v>15</v>
      </c>
      <c r="H59" s="2">
        <v>1.1399999999999999</v>
      </c>
      <c r="I59" s="2">
        <v>58</v>
      </c>
    </row>
    <row r="60" spans="1:9" x14ac:dyDescent="0.3">
      <c r="A60" s="1" t="s">
        <v>1181</v>
      </c>
      <c r="B60" s="1" t="s">
        <v>2456</v>
      </c>
      <c r="C60" s="1" t="s">
        <v>4</v>
      </c>
      <c r="D60" s="1" t="s">
        <v>1100</v>
      </c>
      <c r="E60" s="2">
        <v>3.85</v>
      </c>
      <c r="F60" s="1">
        <v>4</v>
      </c>
      <c r="G60" s="1">
        <v>40</v>
      </c>
      <c r="H60" s="2">
        <v>0.39</v>
      </c>
      <c r="I60" s="2">
        <v>32</v>
      </c>
    </row>
    <row r="61" spans="1:9" x14ac:dyDescent="0.3">
      <c r="A61" s="1" t="s">
        <v>1183</v>
      </c>
      <c r="B61" s="1" t="s">
        <v>2457</v>
      </c>
      <c r="C61" s="1" t="s">
        <v>4</v>
      </c>
      <c r="D61" s="1" t="s">
        <v>1098</v>
      </c>
      <c r="E61" s="2">
        <v>4.4000000000000004</v>
      </c>
      <c r="F61" s="1">
        <v>5</v>
      </c>
      <c r="G61" s="1">
        <v>35</v>
      </c>
      <c r="H61" s="2">
        <v>0.44</v>
      </c>
      <c r="I61" s="2">
        <v>35</v>
      </c>
    </row>
    <row r="62" spans="1:9" x14ac:dyDescent="0.3">
      <c r="A62" s="1" t="s">
        <v>1185</v>
      </c>
      <c r="B62" s="1" t="s">
        <v>21</v>
      </c>
      <c r="C62" s="1" t="s">
        <v>4</v>
      </c>
      <c r="D62" s="1" t="s">
        <v>1088</v>
      </c>
      <c r="E62" s="2">
        <v>5.2</v>
      </c>
      <c r="F62" s="1">
        <v>3</v>
      </c>
      <c r="G62" s="1">
        <v>25</v>
      </c>
      <c r="H62" s="2">
        <v>0.52</v>
      </c>
      <c r="I62" s="2">
        <v>40</v>
      </c>
    </row>
    <row r="63" spans="1:9" x14ac:dyDescent="0.3">
      <c r="A63" s="1" t="s">
        <v>1186</v>
      </c>
      <c r="B63" s="1" t="s">
        <v>2458</v>
      </c>
      <c r="C63" s="1" t="s">
        <v>4</v>
      </c>
      <c r="D63" s="1" t="s">
        <v>1100</v>
      </c>
      <c r="E63" s="2">
        <v>4.0999999999999996</v>
      </c>
      <c r="F63" s="1">
        <v>3</v>
      </c>
      <c r="G63" s="1">
        <v>30</v>
      </c>
      <c r="H63" s="2">
        <v>0.41</v>
      </c>
      <c r="I63" s="2">
        <v>38</v>
      </c>
    </row>
    <row r="64" spans="1:9" x14ac:dyDescent="0.3">
      <c r="A64" s="1" t="s">
        <v>1187</v>
      </c>
      <c r="B64" s="1" t="s">
        <v>2459</v>
      </c>
      <c r="C64" s="1" t="s">
        <v>4</v>
      </c>
      <c r="D64" s="1" t="s">
        <v>1098</v>
      </c>
      <c r="E64" s="2">
        <v>6.5</v>
      </c>
      <c r="F64" s="1">
        <v>4</v>
      </c>
      <c r="G64" s="1">
        <v>20</v>
      </c>
      <c r="H64" s="2">
        <v>0.65</v>
      </c>
      <c r="I64" s="2">
        <v>45</v>
      </c>
    </row>
    <row r="65" spans="1:9" x14ac:dyDescent="0.3">
      <c r="A65" s="1" t="s">
        <v>1189</v>
      </c>
      <c r="B65" s="1" t="s">
        <v>2460</v>
      </c>
      <c r="C65" s="1" t="s">
        <v>4</v>
      </c>
      <c r="D65" s="1" t="s">
        <v>1088</v>
      </c>
      <c r="E65" s="2">
        <v>3.5</v>
      </c>
      <c r="F65" s="1">
        <v>5</v>
      </c>
      <c r="G65" s="1">
        <v>40</v>
      </c>
      <c r="H65" s="2">
        <v>0.35</v>
      </c>
      <c r="I65" s="2">
        <v>35</v>
      </c>
    </row>
    <row r="66" spans="1:9" x14ac:dyDescent="0.3">
      <c r="A66" s="1" t="s">
        <v>1190</v>
      </c>
      <c r="B66" s="1" t="s">
        <v>2461</v>
      </c>
      <c r="C66" s="1" t="s">
        <v>4</v>
      </c>
      <c r="D66" s="1" t="s">
        <v>1100</v>
      </c>
      <c r="E66" s="2">
        <v>2.9</v>
      </c>
      <c r="F66" s="1">
        <v>8</v>
      </c>
      <c r="G66" s="1">
        <v>50</v>
      </c>
      <c r="H66" s="2">
        <v>0.28999999999999998</v>
      </c>
      <c r="I66" s="2">
        <v>42</v>
      </c>
    </row>
    <row r="67" spans="1:9" x14ac:dyDescent="0.3">
      <c r="A67" s="1" t="s">
        <v>1191</v>
      </c>
      <c r="B67" s="1" t="s">
        <v>2462</v>
      </c>
      <c r="C67" s="1" t="s">
        <v>4</v>
      </c>
      <c r="D67" s="1" t="s">
        <v>1098</v>
      </c>
      <c r="E67" s="2">
        <v>3.2</v>
      </c>
      <c r="F67" s="1">
        <v>7</v>
      </c>
      <c r="G67" s="1">
        <v>40</v>
      </c>
      <c r="H67" s="2">
        <v>0.32</v>
      </c>
      <c r="I67" s="2">
        <v>44</v>
      </c>
    </row>
    <row r="68" spans="1:9" x14ac:dyDescent="0.3">
      <c r="A68" s="1" t="s">
        <v>1193</v>
      </c>
      <c r="B68" s="1" t="s">
        <v>2463</v>
      </c>
      <c r="C68" s="1" t="s">
        <v>4</v>
      </c>
      <c r="D68" s="1" t="s">
        <v>1088</v>
      </c>
      <c r="E68" s="2">
        <v>6.8</v>
      </c>
      <c r="F68" s="1">
        <v>5</v>
      </c>
      <c r="G68" s="1">
        <v>20</v>
      </c>
      <c r="H68" s="2">
        <v>0.68</v>
      </c>
      <c r="I68" s="2">
        <v>50</v>
      </c>
    </row>
    <row r="69" spans="1:9" x14ac:dyDescent="0.3">
      <c r="A69" s="1" t="s">
        <v>1195</v>
      </c>
      <c r="B69" s="1" t="s">
        <v>2464</v>
      </c>
      <c r="C69" s="1" t="s">
        <v>4</v>
      </c>
      <c r="D69" s="1" t="s">
        <v>1100</v>
      </c>
      <c r="E69" s="2">
        <v>2.5</v>
      </c>
      <c r="F69" s="1">
        <v>3</v>
      </c>
      <c r="G69" s="1">
        <v>30</v>
      </c>
      <c r="H69" s="2">
        <v>0.25</v>
      </c>
      <c r="I69" s="2">
        <v>30</v>
      </c>
    </row>
    <row r="70" spans="1:9" x14ac:dyDescent="0.3">
      <c r="A70" s="1" t="s">
        <v>1197</v>
      </c>
      <c r="B70" s="1" t="s">
        <v>1198</v>
      </c>
      <c r="C70" s="1" t="s">
        <v>2417</v>
      </c>
      <c r="D70" s="1" t="s">
        <v>1103</v>
      </c>
      <c r="E70" s="2">
        <v>18.2</v>
      </c>
      <c r="F70" s="1">
        <v>9</v>
      </c>
      <c r="G70" s="1">
        <v>15</v>
      </c>
      <c r="H70" s="2">
        <v>1.82</v>
      </c>
      <c r="I70" s="2">
        <v>65</v>
      </c>
    </row>
    <row r="71" spans="1:9" x14ac:dyDescent="0.3">
      <c r="A71" s="1" t="s">
        <v>1199</v>
      </c>
      <c r="B71" s="1" t="s">
        <v>1200</v>
      </c>
      <c r="C71" s="1" t="s">
        <v>2417</v>
      </c>
      <c r="D71" s="1" t="s">
        <v>1119</v>
      </c>
      <c r="E71" s="2">
        <v>4.5</v>
      </c>
      <c r="F71" s="1">
        <v>6</v>
      </c>
      <c r="G71" s="1">
        <v>40</v>
      </c>
      <c r="H71" s="2">
        <v>0.45</v>
      </c>
      <c r="I71" s="2">
        <v>40</v>
      </c>
    </row>
    <row r="72" spans="1:9" x14ac:dyDescent="0.3">
      <c r="A72" s="1" t="s">
        <v>1201</v>
      </c>
      <c r="B72" s="1" t="s">
        <v>2465</v>
      </c>
      <c r="C72" s="1" t="s">
        <v>2417</v>
      </c>
      <c r="D72" s="1" t="s">
        <v>1086</v>
      </c>
      <c r="E72" s="2">
        <v>13.4</v>
      </c>
      <c r="F72" s="1">
        <v>8</v>
      </c>
      <c r="G72" s="1">
        <v>20</v>
      </c>
      <c r="H72" s="2">
        <v>1.34</v>
      </c>
      <c r="I72" s="2">
        <v>55</v>
      </c>
    </row>
    <row r="73" spans="1:9" x14ac:dyDescent="0.3">
      <c r="A73" s="1" t="s">
        <v>1202</v>
      </c>
      <c r="B73" s="1" t="s">
        <v>2466</v>
      </c>
      <c r="C73" s="1" t="s">
        <v>2417</v>
      </c>
      <c r="D73" s="1" t="s">
        <v>1103</v>
      </c>
      <c r="E73" s="2">
        <v>21.1</v>
      </c>
      <c r="F73" s="1">
        <v>10</v>
      </c>
      <c r="G73" s="1">
        <v>12</v>
      </c>
      <c r="H73" s="2">
        <v>2.11</v>
      </c>
      <c r="I73" s="2">
        <v>72</v>
      </c>
    </row>
    <row r="74" spans="1:9" x14ac:dyDescent="0.3">
      <c r="A74" s="1" t="s">
        <v>1203</v>
      </c>
      <c r="B74" s="1" t="s">
        <v>2467</v>
      </c>
      <c r="C74" s="1" t="s">
        <v>2417</v>
      </c>
      <c r="D74" s="1" t="s">
        <v>1119</v>
      </c>
      <c r="E74" s="2">
        <v>7.8</v>
      </c>
      <c r="F74" s="1">
        <v>7</v>
      </c>
      <c r="G74" s="1">
        <v>50</v>
      </c>
      <c r="H74" s="2">
        <v>0.78</v>
      </c>
      <c r="I74" s="2">
        <v>48</v>
      </c>
    </row>
    <row r="75" spans="1:9" x14ac:dyDescent="0.3">
      <c r="A75" s="1" t="s">
        <v>1204</v>
      </c>
      <c r="B75" s="1" t="s">
        <v>2468</v>
      </c>
      <c r="C75" s="1" t="s">
        <v>2417</v>
      </c>
      <c r="D75" s="1" t="s">
        <v>1086</v>
      </c>
      <c r="E75" s="2">
        <v>16.5</v>
      </c>
      <c r="F75" s="1">
        <v>9</v>
      </c>
      <c r="G75" s="1">
        <v>15</v>
      </c>
      <c r="H75" s="2">
        <v>1.65</v>
      </c>
      <c r="I75" s="2">
        <v>60</v>
      </c>
    </row>
    <row r="76" spans="1:9" x14ac:dyDescent="0.3">
      <c r="A76" s="1" t="s">
        <v>1206</v>
      </c>
      <c r="B76" s="1" t="s">
        <v>1207</v>
      </c>
      <c r="C76" s="1" t="s">
        <v>2417</v>
      </c>
      <c r="D76" s="1" t="s">
        <v>1119</v>
      </c>
      <c r="E76" s="2">
        <v>5.2</v>
      </c>
      <c r="F76" s="1">
        <v>6</v>
      </c>
      <c r="G76" s="1">
        <v>25</v>
      </c>
      <c r="H76" s="2">
        <v>0.52</v>
      </c>
      <c r="I76" s="2">
        <v>38</v>
      </c>
    </row>
    <row r="77" spans="1:9" x14ac:dyDescent="0.3">
      <c r="A77" s="1" t="s">
        <v>1208</v>
      </c>
      <c r="B77" s="1" t="s">
        <v>1209</v>
      </c>
      <c r="C77" s="1" t="s">
        <v>2417</v>
      </c>
      <c r="D77" s="1" t="s">
        <v>1086</v>
      </c>
      <c r="E77" s="2">
        <v>6.4</v>
      </c>
      <c r="F77" s="1">
        <v>7</v>
      </c>
      <c r="G77" s="1">
        <v>30</v>
      </c>
      <c r="H77" s="2">
        <v>0.64</v>
      </c>
      <c r="I77" s="2">
        <v>42</v>
      </c>
    </row>
    <row r="78" spans="1:9" x14ac:dyDescent="0.3">
      <c r="A78" s="1" t="s">
        <v>1210</v>
      </c>
      <c r="B78" s="1" t="s">
        <v>2469</v>
      </c>
      <c r="C78" s="1" t="s">
        <v>2417</v>
      </c>
      <c r="D78" s="1" t="s">
        <v>1103</v>
      </c>
      <c r="E78" s="2">
        <v>24.8</v>
      </c>
      <c r="F78" s="1">
        <v>10</v>
      </c>
      <c r="G78" s="1">
        <v>10</v>
      </c>
      <c r="H78" s="2">
        <v>2.48</v>
      </c>
      <c r="I78" s="2">
        <v>80</v>
      </c>
    </row>
    <row r="79" spans="1:9" x14ac:dyDescent="0.3">
      <c r="A79" s="1" t="s">
        <v>1212</v>
      </c>
      <c r="B79" s="1" t="s">
        <v>1213</v>
      </c>
      <c r="C79" s="1" t="s">
        <v>2418</v>
      </c>
      <c r="D79" s="1" t="s">
        <v>1140</v>
      </c>
      <c r="E79" s="2">
        <v>12.4</v>
      </c>
      <c r="F79" s="1">
        <v>5</v>
      </c>
      <c r="G79" s="1">
        <v>15</v>
      </c>
      <c r="H79" s="2">
        <v>1.24</v>
      </c>
      <c r="I79" s="2">
        <v>55</v>
      </c>
    </row>
    <row r="80" spans="1:9" x14ac:dyDescent="0.3">
      <c r="A80" s="1" t="s">
        <v>1214</v>
      </c>
      <c r="B80" s="1" t="s">
        <v>2470</v>
      </c>
      <c r="C80" s="1" t="s">
        <v>2418</v>
      </c>
      <c r="D80" s="1" t="s">
        <v>1114</v>
      </c>
      <c r="E80" s="2">
        <v>15.6</v>
      </c>
      <c r="F80" s="1">
        <v>6</v>
      </c>
      <c r="G80" s="1">
        <v>12</v>
      </c>
      <c r="H80" s="2">
        <v>1.56</v>
      </c>
      <c r="I80" s="2">
        <v>62</v>
      </c>
    </row>
    <row r="81" spans="1:9" x14ac:dyDescent="0.3">
      <c r="A81" s="1" t="s">
        <v>1216</v>
      </c>
      <c r="B81" s="1" t="s">
        <v>2471</v>
      </c>
      <c r="C81" s="1" t="s">
        <v>4</v>
      </c>
      <c r="D81" s="1" t="s">
        <v>1100</v>
      </c>
      <c r="E81" s="2">
        <v>8.1999999999999993</v>
      </c>
      <c r="F81" s="1">
        <v>4</v>
      </c>
      <c r="G81" s="1">
        <v>20</v>
      </c>
      <c r="H81" s="2">
        <v>0.82</v>
      </c>
      <c r="I81" s="2">
        <v>45</v>
      </c>
    </row>
    <row r="82" spans="1:9" x14ac:dyDescent="0.3">
      <c r="A82" s="1" t="s">
        <v>1217</v>
      </c>
      <c r="B82" s="1" t="s">
        <v>2472</v>
      </c>
      <c r="C82" s="1" t="s">
        <v>17</v>
      </c>
      <c r="D82" s="1" t="s">
        <v>1133</v>
      </c>
      <c r="E82" s="2">
        <v>9.5</v>
      </c>
      <c r="F82" s="1">
        <v>7</v>
      </c>
      <c r="G82" s="1">
        <v>25</v>
      </c>
      <c r="H82" s="2">
        <v>0.95</v>
      </c>
      <c r="I82" s="2">
        <v>50</v>
      </c>
    </row>
    <row r="83" spans="1:9" x14ac:dyDescent="0.3">
      <c r="A83" s="1" t="s">
        <v>1218</v>
      </c>
      <c r="B83" s="1" t="s">
        <v>2473</v>
      </c>
      <c r="C83" s="1" t="s">
        <v>2417</v>
      </c>
      <c r="D83" s="1" t="s">
        <v>1103</v>
      </c>
      <c r="E83" s="2">
        <v>14.2</v>
      </c>
      <c r="F83" s="1">
        <v>8</v>
      </c>
      <c r="G83" s="1">
        <v>20</v>
      </c>
      <c r="H83" s="2">
        <v>1.42</v>
      </c>
      <c r="I83" s="2">
        <v>58</v>
      </c>
    </row>
    <row r="84" spans="1:9" x14ac:dyDescent="0.3">
      <c r="A84" s="1" t="s">
        <v>1219</v>
      </c>
      <c r="B84" s="1" t="s">
        <v>24</v>
      </c>
      <c r="C84" s="1" t="s">
        <v>4</v>
      </c>
      <c r="D84" s="1" t="s">
        <v>1088</v>
      </c>
      <c r="E84" s="2">
        <v>2.8</v>
      </c>
      <c r="F84" s="1">
        <v>3</v>
      </c>
      <c r="G84" s="1">
        <v>40</v>
      </c>
      <c r="H84" s="2">
        <v>0.28000000000000003</v>
      </c>
      <c r="I84" s="2">
        <v>32</v>
      </c>
    </row>
    <row r="85" spans="1:9" x14ac:dyDescent="0.3">
      <c r="A85" s="1" t="s">
        <v>1220</v>
      </c>
      <c r="B85" s="1" t="s">
        <v>2461</v>
      </c>
      <c r="C85" s="1" t="s">
        <v>4</v>
      </c>
      <c r="D85" s="1" t="s">
        <v>1098</v>
      </c>
      <c r="E85" s="2">
        <v>3.1</v>
      </c>
      <c r="F85" s="1">
        <v>5</v>
      </c>
      <c r="G85" s="1">
        <v>35</v>
      </c>
      <c r="H85" s="2">
        <v>0.31</v>
      </c>
      <c r="I85" s="2">
        <v>35</v>
      </c>
    </row>
    <row r="86" spans="1:9" x14ac:dyDescent="0.3">
      <c r="A86" s="1" t="s">
        <v>1221</v>
      </c>
      <c r="B86" s="1" t="s">
        <v>2474</v>
      </c>
      <c r="C86" s="1" t="s">
        <v>2418</v>
      </c>
      <c r="D86" s="1" t="s">
        <v>1094</v>
      </c>
      <c r="E86" s="2">
        <v>2.5</v>
      </c>
      <c r="F86" s="1">
        <v>6</v>
      </c>
      <c r="G86" s="1">
        <v>50</v>
      </c>
      <c r="H86" s="2">
        <v>0.25</v>
      </c>
      <c r="I86" s="2">
        <v>30</v>
      </c>
    </row>
    <row r="87" spans="1:9" x14ac:dyDescent="0.3">
      <c r="A87" s="1" t="s">
        <v>1222</v>
      </c>
      <c r="B87" s="1" t="s">
        <v>25</v>
      </c>
      <c r="C87" s="1" t="s">
        <v>9</v>
      </c>
      <c r="D87" s="1" t="s">
        <v>1128</v>
      </c>
      <c r="E87" s="2">
        <v>22.4</v>
      </c>
      <c r="F87" s="1">
        <v>6</v>
      </c>
      <c r="G87" s="1">
        <v>15</v>
      </c>
      <c r="H87" s="2">
        <v>2.2400000000000002</v>
      </c>
      <c r="I87" s="2">
        <v>65</v>
      </c>
    </row>
    <row r="88" spans="1:9" x14ac:dyDescent="0.3">
      <c r="A88" s="1" t="s">
        <v>1223</v>
      </c>
      <c r="B88" s="1" t="s">
        <v>26</v>
      </c>
      <c r="C88" s="1" t="s">
        <v>2416</v>
      </c>
      <c r="D88" s="1" t="s">
        <v>1092</v>
      </c>
      <c r="E88" s="2">
        <v>4.2</v>
      </c>
      <c r="F88" s="1">
        <v>5</v>
      </c>
      <c r="G88" s="1">
        <v>25</v>
      </c>
      <c r="H88" s="2">
        <v>0.42</v>
      </c>
      <c r="I88" s="2">
        <v>48</v>
      </c>
    </row>
    <row r="89" spans="1:9" x14ac:dyDescent="0.3">
      <c r="A89" s="1" t="s">
        <v>1224</v>
      </c>
      <c r="B89" s="1" t="s">
        <v>27</v>
      </c>
      <c r="C89" s="1" t="s">
        <v>9</v>
      </c>
      <c r="D89" s="1" t="s">
        <v>1116</v>
      </c>
      <c r="E89" s="2">
        <v>19.5</v>
      </c>
      <c r="F89" s="1">
        <v>7</v>
      </c>
      <c r="G89" s="1">
        <v>15</v>
      </c>
      <c r="H89" s="2">
        <v>1.95</v>
      </c>
      <c r="I89" s="2">
        <v>62</v>
      </c>
    </row>
    <row r="90" spans="1:9" x14ac:dyDescent="0.3">
      <c r="A90" s="1" t="s">
        <v>1225</v>
      </c>
      <c r="B90" s="1" t="s">
        <v>28</v>
      </c>
      <c r="C90" s="1" t="s">
        <v>2416</v>
      </c>
      <c r="D90" s="1" t="s">
        <v>1105</v>
      </c>
      <c r="E90" s="2">
        <v>2.1</v>
      </c>
      <c r="F90" s="1">
        <v>3</v>
      </c>
      <c r="G90" s="1">
        <v>50</v>
      </c>
      <c r="H90" s="2">
        <v>0.21</v>
      </c>
      <c r="I90" s="2">
        <v>35</v>
      </c>
    </row>
    <row r="91" spans="1:9" x14ac:dyDescent="0.3">
      <c r="A91" s="1" t="s">
        <v>1226</v>
      </c>
      <c r="B91" s="1" t="s">
        <v>2475</v>
      </c>
      <c r="C91" s="1" t="s">
        <v>4</v>
      </c>
      <c r="D91" s="1" t="s">
        <v>1098</v>
      </c>
      <c r="E91" s="2">
        <v>11.8</v>
      </c>
      <c r="F91" s="1">
        <v>6</v>
      </c>
      <c r="G91" s="1">
        <v>15</v>
      </c>
      <c r="H91" s="2">
        <v>1.18</v>
      </c>
      <c r="I91" s="2">
        <v>58</v>
      </c>
    </row>
    <row r="92" spans="1:9" x14ac:dyDescent="0.3">
      <c r="A92" s="1" t="s">
        <v>1227</v>
      </c>
      <c r="B92" s="1" t="s">
        <v>29</v>
      </c>
      <c r="C92" s="1" t="s">
        <v>2416</v>
      </c>
      <c r="D92" s="1" t="s">
        <v>1084</v>
      </c>
      <c r="E92" s="2">
        <v>2.5</v>
      </c>
      <c r="F92" s="1">
        <v>2</v>
      </c>
      <c r="G92" s="1">
        <v>40</v>
      </c>
      <c r="H92" s="2">
        <v>0.25</v>
      </c>
      <c r="I92" s="2">
        <v>32</v>
      </c>
    </row>
    <row r="93" spans="1:9" x14ac:dyDescent="0.3">
      <c r="A93" s="1" t="s">
        <v>1228</v>
      </c>
      <c r="B93" s="1" t="s">
        <v>2476</v>
      </c>
      <c r="C93" s="1" t="s">
        <v>2417</v>
      </c>
      <c r="D93" s="1" t="s">
        <v>1119</v>
      </c>
      <c r="E93" s="2">
        <v>8.9</v>
      </c>
      <c r="F93" s="1">
        <v>7</v>
      </c>
      <c r="G93" s="1">
        <v>30</v>
      </c>
      <c r="H93" s="2">
        <v>0.89</v>
      </c>
      <c r="I93" s="2">
        <v>45</v>
      </c>
    </row>
    <row r="94" spans="1:9" x14ac:dyDescent="0.3">
      <c r="A94" s="1" t="s">
        <v>1229</v>
      </c>
      <c r="B94" s="1" t="s">
        <v>2477</v>
      </c>
      <c r="C94" s="1" t="s">
        <v>2418</v>
      </c>
      <c r="D94" s="1" t="s">
        <v>1094</v>
      </c>
      <c r="E94" s="2">
        <v>7.2</v>
      </c>
      <c r="F94" s="1">
        <v>9</v>
      </c>
      <c r="G94" s="1">
        <v>20</v>
      </c>
      <c r="H94" s="2">
        <v>0.72</v>
      </c>
      <c r="I94" s="2">
        <v>60</v>
      </c>
    </row>
    <row r="95" spans="1:9" x14ac:dyDescent="0.3">
      <c r="A95" s="1" t="s">
        <v>1230</v>
      </c>
      <c r="B95" s="1" t="s">
        <v>2478</v>
      </c>
      <c r="C95" s="1" t="s">
        <v>13</v>
      </c>
      <c r="D95" s="1" t="s">
        <v>1125</v>
      </c>
      <c r="E95" s="2">
        <v>4.8</v>
      </c>
      <c r="F95" s="1">
        <v>4</v>
      </c>
      <c r="G95" s="1">
        <v>30</v>
      </c>
      <c r="H95" s="2">
        <v>0.48</v>
      </c>
      <c r="I95" s="2">
        <v>42</v>
      </c>
    </row>
    <row r="96" spans="1:9" x14ac:dyDescent="0.3">
      <c r="A96" s="1" t="s">
        <v>1231</v>
      </c>
      <c r="B96" s="1" t="s">
        <v>2479</v>
      </c>
      <c r="C96" s="1" t="s">
        <v>2416</v>
      </c>
      <c r="D96" s="1" t="s">
        <v>1105</v>
      </c>
      <c r="E96" s="2">
        <v>2.9</v>
      </c>
      <c r="F96" s="1">
        <v>4</v>
      </c>
      <c r="G96" s="1">
        <v>35</v>
      </c>
      <c r="H96" s="2">
        <v>0.28999999999999998</v>
      </c>
      <c r="I96" s="2">
        <v>38</v>
      </c>
    </row>
    <row r="97" spans="1:9" x14ac:dyDescent="0.3">
      <c r="A97" s="1" t="s">
        <v>1232</v>
      </c>
      <c r="B97" s="1" t="s">
        <v>30</v>
      </c>
      <c r="C97" s="1" t="s">
        <v>2416</v>
      </c>
      <c r="D97" s="1" t="s">
        <v>1092</v>
      </c>
      <c r="E97" s="2">
        <v>3.2</v>
      </c>
      <c r="F97" s="1">
        <v>5</v>
      </c>
      <c r="G97" s="1">
        <v>40</v>
      </c>
      <c r="H97" s="2">
        <v>0.32</v>
      </c>
      <c r="I97" s="2">
        <v>40</v>
      </c>
    </row>
    <row r="98" spans="1:9" x14ac:dyDescent="0.3">
      <c r="A98" s="1" t="s">
        <v>1233</v>
      </c>
      <c r="B98" s="1" t="s">
        <v>31</v>
      </c>
      <c r="C98" s="1" t="s">
        <v>2416</v>
      </c>
      <c r="D98" s="1" t="s">
        <v>1084</v>
      </c>
      <c r="E98" s="2">
        <v>2.15</v>
      </c>
      <c r="F98" s="1">
        <v>3</v>
      </c>
      <c r="G98" s="1">
        <v>50</v>
      </c>
      <c r="H98" s="2">
        <v>0.22</v>
      </c>
      <c r="I98" s="2">
        <v>35</v>
      </c>
    </row>
    <row r="99" spans="1:9" x14ac:dyDescent="0.3">
      <c r="A99" s="1" t="s">
        <v>1234</v>
      </c>
      <c r="B99" s="1" t="s">
        <v>2480</v>
      </c>
      <c r="C99" s="1" t="s">
        <v>4</v>
      </c>
      <c r="D99" s="1" t="s">
        <v>1100</v>
      </c>
      <c r="E99" s="2">
        <v>5.4</v>
      </c>
      <c r="F99" s="1">
        <v>3</v>
      </c>
      <c r="G99" s="1">
        <v>25</v>
      </c>
      <c r="H99" s="2">
        <v>0.54</v>
      </c>
      <c r="I99" s="2">
        <v>42</v>
      </c>
    </row>
    <row r="100" spans="1:9" x14ac:dyDescent="0.3">
      <c r="A100" s="1" t="s">
        <v>1235</v>
      </c>
      <c r="B100" s="1" t="s">
        <v>2481</v>
      </c>
      <c r="C100" s="1" t="s">
        <v>13</v>
      </c>
      <c r="D100" s="1" t="s">
        <v>1137</v>
      </c>
      <c r="E100" s="2">
        <v>5.8</v>
      </c>
      <c r="F100" s="1">
        <v>2</v>
      </c>
      <c r="G100" s="1">
        <v>20</v>
      </c>
      <c r="H100" s="2">
        <v>0.57999999999999996</v>
      </c>
      <c r="I100" s="2">
        <v>45</v>
      </c>
    </row>
    <row r="101" spans="1:9" x14ac:dyDescent="0.3">
      <c r="A101" s="1" t="s">
        <v>1236</v>
      </c>
      <c r="B101" s="1" t="s">
        <v>32</v>
      </c>
      <c r="C101" s="1" t="s">
        <v>2416</v>
      </c>
      <c r="D101" s="1" t="s">
        <v>1105</v>
      </c>
      <c r="E101" s="2">
        <v>1.5</v>
      </c>
      <c r="F101" s="1">
        <v>5</v>
      </c>
      <c r="G101" s="1">
        <v>100</v>
      </c>
      <c r="H101" s="2">
        <v>0.15</v>
      </c>
      <c r="I101" s="2">
        <v>30</v>
      </c>
    </row>
    <row r="102" spans="1:9" x14ac:dyDescent="0.3">
      <c r="A102" s="1" t="s">
        <v>1237</v>
      </c>
      <c r="B102" s="1" t="s">
        <v>33</v>
      </c>
      <c r="C102" s="1" t="s">
        <v>9</v>
      </c>
      <c r="D102" s="1" t="s">
        <v>1096</v>
      </c>
      <c r="E102" s="2">
        <v>34.200000000000003</v>
      </c>
      <c r="F102" s="1">
        <v>8</v>
      </c>
      <c r="G102" s="1">
        <v>10</v>
      </c>
      <c r="H102" s="2">
        <v>3.42</v>
      </c>
      <c r="I102" s="2">
        <v>78</v>
      </c>
    </row>
    <row r="103" spans="1:9" x14ac:dyDescent="0.3">
      <c r="A103" s="1" t="s">
        <v>1238</v>
      </c>
      <c r="B103" s="1" t="s">
        <v>1239</v>
      </c>
      <c r="C103" s="1" t="s">
        <v>9</v>
      </c>
      <c r="D103" s="1" t="s">
        <v>1128</v>
      </c>
      <c r="E103" s="2">
        <v>21.5</v>
      </c>
      <c r="F103" s="1">
        <v>7</v>
      </c>
      <c r="G103" s="1">
        <v>12</v>
      </c>
      <c r="H103" s="2">
        <v>2.15</v>
      </c>
      <c r="I103" s="2">
        <v>65</v>
      </c>
    </row>
    <row r="104" spans="1:9" x14ac:dyDescent="0.3">
      <c r="A104" s="1" t="s">
        <v>1240</v>
      </c>
      <c r="B104" s="1" t="s">
        <v>1241</v>
      </c>
      <c r="C104" s="1" t="s">
        <v>9</v>
      </c>
      <c r="D104" s="1" t="s">
        <v>1116</v>
      </c>
      <c r="E104" s="2">
        <v>26.8</v>
      </c>
      <c r="F104" s="1">
        <v>6</v>
      </c>
      <c r="G104" s="1">
        <v>15</v>
      </c>
      <c r="H104" s="2">
        <v>2.68</v>
      </c>
      <c r="I104" s="2">
        <v>70</v>
      </c>
    </row>
    <row r="105" spans="1:9" x14ac:dyDescent="0.3">
      <c r="A105" s="1" t="s">
        <v>1242</v>
      </c>
      <c r="B105" s="1" t="s">
        <v>1243</v>
      </c>
      <c r="C105" s="1" t="s">
        <v>9</v>
      </c>
      <c r="D105" s="1" t="s">
        <v>1096</v>
      </c>
      <c r="E105" s="2">
        <v>14.2</v>
      </c>
      <c r="F105" s="1">
        <v>5</v>
      </c>
      <c r="G105" s="1">
        <v>20</v>
      </c>
      <c r="H105" s="2">
        <v>1.42</v>
      </c>
      <c r="I105" s="2">
        <v>55</v>
      </c>
    </row>
    <row r="106" spans="1:9" x14ac:dyDescent="0.3">
      <c r="A106" s="1" t="s">
        <v>1244</v>
      </c>
      <c r="B106" s="1" t="s">
        <v>1245</v>
      </c>
      <c r="C106" s="1" t="s">
        <v>9</v>
      </c>
      <c r="D106" s="1" t="s">
        <v>1128</v>
      </c>
      <c r="E106" s="2">
        <v>16.5</v>
      </c>
      <c r="F106" s="1">
        <v>6</v>
      </c>
      <c r="G106" s="1">
        <v>20</v>
      </c>
      <c r="H106" s="2">
        <v>1.65</v>
      </c>
      <c r="I106" s="2">
        <v>58</v>
      </c>
    </row>
    <row r="107" spans="1:9" x14ac:dyDescent="0.3">
      <c r="A107" s="1" t="s">
        <v>1246</v>
      </c>
      <c r="B107" s="1" t="s">
        <v>2482</v>
      </c>
      <c r="C107" s="1" t="s">
        <v>9</v>
      </c>
      <c r="D107" s="1" t="s">
        <v>1116</v>
      </c>
      <c r="E107" s="2">
        <v>31.4</v>
      </c>
      <c r="F107" s="1">
        <v>8</v>
      </c>
      <c r="G107" s="1">
        <v>10</v>
      </c>
      <c r="H107" s="2">
        <v>3.14</v>
      </c>
      <c r="I107" s="2">
        <v>80</v>
      </c>
    </row>
    <row r="108" spans="1:9" x14ac:dyDescent="0.3">
      <c r="A108" s="1" t="s">
        <v>1248</v>
      </c>
      <c r="B108" s="1" t="s">
        <v>22</v>
      </c>
      <c r="C108" s="1" t="s">
        <v>9</v>
      </c>
      <c r="D108" s="1" t="s">
        <v>1096</v>
      </c>
      <c r="E108" s="2">
        <v>10.199999999999999</v>
      </c>
      <c r="F108" s="1">
        <v>4</v>
      </c>
      <c r="G108" s="1">
        <v>50</v>
      </c>
      <c r="H108" s="2">
        <v>1.02</v>
      </c>
      <c r="I108" s="2">
        <v>40</v>
      </c>
    </row>
    <row r="109" spans="1:9" x14ac:dyDescent="0.3">
      <c r="A109" s="1" t="s">
        <v>1249</v>
      </c>
      <c r="B109" s="1" t="s">
        <v>1250</v>
      </c>
      <c r="C109" s="1" t="s">
        <v>9</v>
      </c>
      <c r="D109" s="1" t="s">
        <v>1128</v>
      </c>
      <c r="E109" s="2">
        <v>11.5</v>
      </c>
      <c r="F109" s="1">
        <v>5</v>
      </c>
      <c r="G109" s="1">
        <v>40</v>
      </c>
      <c r="H109" s="2">
        <v>1.1499999999999999</v>
      </c>
      <c r="I109" s="2">
        <v>45</v>
      </c>
    </row>
    <row r="110" spans="1:9" x14ac:dyDescent="0.3">
      <c r="A110" s="1" t="s">
        <v>1251</v>
      </c>
      <c r="B110" s="1" t="s">
        <v>8</v>
      </c>
      <c r="C110" s="1" t="s">
        <v>9</v>
      </c>
      <c r="D110" s="1" t="s">
        <v>1116</v>
      </c>
      <c r="E110" s="2">
        <v>28.4</v>
      </c>
      <c r="F110" s="1">
        <v>6</v>
      </c>
      <c r="G110" s="1">
        <v>15</v>
      </c>
      <c r="H110" s="2">
        <v>2.84</v>
      </c>
      <c r="I110" s="2">
        <v>65</v>
      </c>
    </row>
    <row r="111" spans="1:9" x14ac:dyDescent="0.3">
      <c r="A111" s="1" t="s">
        <v>1252</v>
      </c>
      <c r="B111" s="1" t="s">
        <v>1253</v>
      </c>
      <c r="C111" s="1" t="s">
        <v>9</v>
      </c>
      <c r="D111" s="1" t="s">
        <v>1096</v>
      </c>
      <c r="E111" s="2">
        <v>36.5</v>
      </c>
      <c r="F111" s="1">
        <v>9</v>
      </c>
      <c r="G111" s="1">
        <v>5</v>
      </c>
      <c r="H111" s="2">
        <v>3.65</v>
      </c>
      <c r="I111" s="2">
        <v>85</v>
      </c>
    </row>
    <row r="112" spans="1:9" x14ac:dyDescent="0.3">
      <c r="A112" s="1" t="s">
        <v>1254</v>
      </c>
      <c r="B112" s="1" t="s">
        <v>1255</v>
      </c>
      <c r="C112" s="1" t="s">
        <v>9</v>
      </c>
      <c r="D112" s="1" t="s">
        <v>1128</v>
      </c>
      <c r="E112" s="2">
        <v>15.8</v>
      </c>
      <c r="F112" s="1">
        <v>7</v>
      </c>
      <c r="G112" s="1">
        <v>20</v>
      </c>
      <c r="H112" s="2">
        <v>1.58</v>
      </c>
      <c r="I112" s="2">
        <v>60</v>
      </c>
    </row>
    <row r="113" spans="1:9" x14ac:dyDescent="0.3">
      <c r="A113" s="1" t="s">
        <v>1256</v>
      </c>
      <c r="B113" s="1" t="s">
        <v>1257</v>
      </c>
      <c r="C113" s="1" t="s">
        <v>9</v>
      </c>
      <c r="D113" s="1" t="s">
        <v>1116</v>
      </c>
      <c r="E113" s="2">
        <v>41.2</v>
      </c>
      <c r="F113" s="1">
        <v>10</v>
      </c>
      <c r="G113" s="1">
        <v>5</v>
      </c>
      <c r="H113" s="2">
        <v>4.12</v>
      </c>
      <c r="I113" s="2">
        <v>90</v>
      </c>
    </row>
    <row r="114" spans="1:9" x14ac:dyDescent="0.3">
      <c r="A114" s="1" t="s">
        <v>1258</v>
      </c>
      <c r="B114" s="1" t="s">
        <v>1259</v>
      </c>
      <c r="C114" s="1" t="s">
        <v>9</v>
      </c>
      <c r="D114" s="1" t="s">
        <v>1096</v>
      </c>
      <c r="E114" s="2">
        <v>22.4</v>
      </c>
      <c r="F114" s="1">
        <v>6</v>
      </c>
      <c r="G114" s="1">
        <v>15</v>
      </c>
      <c r="H114" s="2">
        <v>2.2400000000000002</v>
      </c>
      <c r="I114" s="2">
        <v>68</v>
      </c>
    </row>
    <row r="115" spans="1:9" x14ac:dyDescent="0.3">
      <c r="A115" s="1" t="s">
        <v>1260</v>
      </c>
      <c r="B115" s="1" t="s">
        <v>1261</v>
      </c>
      <c r="C115" s="1" t="s">
        <v>9</v>
      </c>
      <c r="D115" s="1" t="s">
        <v>1128</v>
      </c>
      <c r="E115" s="2">
        <v>25.6</v>
      </c>
      <c r="F115" s="1">
        <v>7</v>
      </c>
      <c r="G115" s="1">
        <v>12</v>
      </c>
      <c r="H115" s="2">
        <v>2.56</v>
      </c>
      <c r="I115" s="2">
        <v>72</v>
      </c>
    </row>
    <row r="116" spans="1:9" x14ac:dyDescent="0.3">
      <c r="A116" s="1" t="s">
        <v>1262</v>
      </c>
      <c r="B116" s="1" t="s">
        <v>1158</v>
      </c>
      <c r="C116" s="1" t="s">
        <v>9</v>
      </c>
      <c r="D116" s="1" t="s">
        <v>1116</v>
      </c>
      <c r="E116" s="2">
        <v>18.399999999999999</v>
      </c>
      <c r="F116" s="1">
        <v>5</v>
      </c>
      <c r="G116" s="1">
        <v>25</v>
      </c>
      <c r="H116" s="2">
        <v>1.84</v>
      </c>
      <c r="I116" s="2">
        <v>60</v>
      </c>
    </row>
    <row r="117" spans="1:9" x14ac:dyDescent="0.3">
      <c r="A117" s="1" t="s">
        <v>1263</v>
      </c>
      <c r="B117" s="1" t="s">
        <v>1162</v>
      </c>
      <c r="C117" s="1" t="s">
        <v>9</v>
      </c>
      <c r="D117" s="1" t="s">
        <v>1096</v>
      </c>
      <c r="E117" s="2">
        <v>32.799999999999997</v>
      </c>
      <c r="F117" s="1">
        <v>8</v>
      </c>
      <c r="G117" s="1">
        <v>10</v>
      </c>
      <c r="H117" s="2">
        <v>3.28</v>
      </c>
      <c r="I117" s="2">
        <v>78</v>
      </c>
    </row>
    <row r="118" spans="1:9" x14ac:dyDescent="0.3">
      <c r="A118" s="1" t="s">
        <v>1264</v>
      </c>
      <c r="B118" s="1" t="s">
        <v>1152</v>
      </c>
      <c r="C118" s="1" t="s">
        <v>9</v>
      </c>
      <c r="D118" s="1" t="s">
        <v>1128</v>
      </c>
      <c r="E118" s="2">
        <v>38.5</v>
      </c>
      <c r="F118" s="1">
        <v>9</v>
      </c>
      <c r="G118" s="1">
        <v>8</v>
      </c>
      <c r="H118" s="2">
        <v>3.85</v>
      </c>
      <c r="I118" s="2">
        <v>85</v>
      </c>
    </row>
    <row r="119" spans="1:9" x14ac:dyDescent="0.3">
      <c r="A119" s="1" t="s">
        <v>1265</v>
      </c>
      <c r="B119" s="1" t="s">
        <v>1160</v>
      </c>
      <c r="C119" s="1" t="s">
        <v>9</v>
      </c>
      <c r="D119" s="1" t="s">
        <v>1116</v>
      </c>
      <c r="E119" s="2">
        <v>14.5</v>
      </c>
      <c r="F119" s="1">
        <v>6</v>
      </c>
      <c r="G119" s="1">
        <v>30</v>
      </c>
      <c r="H119" s="2">
        <v>1.45</v>
      </c>
      <c r="I119" s="2">
        <v>55</v>
      </c>
    </row>
    <row r="120" spans="1:9" x14ac:dyDescent="0.3">
      <c r="A120" s="1" t="s">
        <v>1266</v>
      </c>
      <c r="B120" s="1" t="s">
        <v>1154</v>
      </c>
      <c r="C120" s="1" t="s">
        <v>9</v>
      </c>
      <c r="D120" s="1" t="s">
        <v>1096</v>
      </c>
      <c r="E120" s="2">
        <v>44.2</v>
      </c>
      <c r="F120" s="1">
        <v>10</v>
      </c>
      <c r="G120" s="1">
        <v>5</v>
      </c>
      <c r="H120" s="2">
        <v>4.42</v>
      </c>
      <c r="I120" s="2">
        <v>95</v>
      </c>
    </row>
    <row r="121" spans="1:9" x14ac:dyDescent="0.3">
      <c r="A121" s="1" t="s">
        <v>1267</v>
      </c>
      <c r="B121" s="1" t="s">
        <v>1135</v>
      </c>
      <c r="C121" s="1" t="s">
        <v>9</v>
      </c>
      <c r="D121" s="1" t="s">
        <v>1128</v>
      </c>
      <c r="E121" s="2">
        <v>48.5</v>
      </c>
      <c r="F121" s="1">
        <v>11</v>
      </c>
      <c r="G121" s="1">
        <v>5</v>
      </c>
      <c r="H121" s="2">
        <v>4.8499999999999996</v>
      </c>
      <c r="I121" s="2">
        <v>100</v>
      </c>
    </row>
    <row r="122" spans="1:9" x14ac:dyDescent="0.3">
      <c r="A122" s="1" t="s">
        <v>1268</v>
      </c>
      <c r="B122" s="1" t="s">
        <v>1149</v>
      </c>
      <c r="C122" s="1" t="s">
        <v>9</v>
      </c>
      <c r="D122" s="1" t="s">
        <v>1116</v>
      </c>
      <c r="E122" s="2">
        <v>23.5</v>
      </c>
      <c r="F122" s="1">
        <v>7</v>
      </c>
      <c r="G122" s="1">
        <v>20</v>
      </c>
      <c r="H122" s="2">
        <v>2.35</v>
      </c>
      <c r="I122" s="2">
        <v>68</v>
      </c>
    </row>
    <row r="128" spans="1:9" ht="34.200000000000003" hidden="1" customHeight="1" x14ac:dyDescent="0.3">
      <c r="C128" s="38" t="s">
        <v>2391</v>
      </c>
      <c r="D128" s="40">
        <f>AVERAGE(tbl_Products[Lead_Time_(Days)])</f>
        <v>5.8512396694214877</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6F3672-014A-47FA-8909-B1F3DD155424}">
  <sheetPr>
    <tabColor theme="9" tint="0.39997558519241921"/>
  </sheetPr>
  <dimension ref="A1:F1112"/>
  <sheetViews>
    <sheetView workbookViewId="0">
      <selection activeCell="H1114" sqref="H1114"/>
    </sheetView>
  </sheetViews>
  <sheetFormatPr defaultRowHeight="14.4" x14ac:dyDescent="0.3"/>
  <cols>
    <col min="1" max="1" width="15.21875" customWidth="1"/>
    <col min="2" max="2" width="21.44140625" customWidth="1"/>
    <col min="3" max="3" width="16.33203125" customWidth="1"/>
    <col min="4" max="4" width="22.109375" customWidth="1"/>
    <col min="5" max="5" width="14.109375" customWidth="1"/>
    <col min="6" max="6" width="27.44140625" bestFit="1" customWidth="1"/>
  </cols>
  <sheetData>
    <row r="1" spans="1:6" x14ac:dyDescent="0.3">
      <c r="A1" s="36" t="s">
        <v>1270</v>
      </c>
      <c r="B1" s="12" t="s">
        <v>38</v>
      </c>
      <c r="C1" s="12" t="s">
        <v>0</v>
      </c>
      <c r="D1" s="12" t="s">
        <v>39</v>
      </c>
      <c r="E1" s="12" t="s">
        <v>40</v>
      </c>
      <c r="F1" s="12" t="s">
        <v>1269</v>
      </c>
    </row>
    <row r="2" spans="1:6" x14ac:dyDescent="0.3">
      <c r="A2" s="35" t="s">
        <v>1271</v>
      </c>
      <c r="B2" s="13">
        <v>44927</v>
      </c>
      <c r="C2" s="1" t="s">
        <v>1089</v>
      </c>
      <c r="D2" s="1" t="s">
        <v>41</v>
      </c>
      <c r="E2" s="1">
        <v>46</v>
      </c>
      <c r="F2" s="1" t="s">
        <v>42</v>
      </c>
    </row>
    <row r="3" spans="1:6" x14ac:dyDescent="0.3">
      <c r="A3" s="1" t="s">
        <v>1272</v>
      </c>
      <c r="B3" s="13">
        <v>44927</v>
      </c>
      <c r="C3" s="1" t="s">
        <v>1252</v>
      </c>
      <c r="D3" s="1" t="s">
        <v>43</v>
      </c>
      <c r="E3" s="1">
        <v>51</v>
      </c>
      <c r="F3" s="1" t="s">
        <v>44</v>
      </c>
    </row>
    <row r="4" spans="1:6" x14ac:dyDescent="0.3">
      <c r="A4" s="1" t="s">
        <v>1273</v>
      </c>
      <c r="B4" s="13">
        <v>44927</v>
      </c>
      <c r="C4" s="1" t="s">
        <v>1159</v>
      </c>
      <c r="D4" s="1" t="s">
        <v>43</v>
      </c>
      <c r="E4" s="1">
        <v>38</v>
      </c>
      <c r="F4" s="1" t="s">
        <v>45</v>
      </c>
    </row>
    <row r="5" spans="1:6" x14ac:dyDescent="0.3">
      <c r="A5" s="1" t="s">
        <v>1274</v>
      </c>
      <c r="B5" s="13">
        <v>44928</v>
      </c>
      <c r="C5" s="1" t="s">
        <v>1197</v>
      </c>
      <c r="D5" s="1" t="s">
        <v>41</v>
      </c>
      <c r="E5" s="1">
        <v>51</v>
      </c>
      <c r="F5" s="1" t="s">
        <v>46</v>
      </c>
    </row>
    <row r="6" spans="1:6" x14ac:dyDescent="0.3">
      <c r="A6" s="1" t="s">
        <v>1275</v>
      </c>
      <c r="B6" s="13">
        <v>44928</v>
      </c>
      <c r="C6" s="1" t="s">
        <v>1163</v>
      </c>
      <c r="D6" s="1" t="s">
        <v>43</v>
      </c>
      <c r="E6" s="1">
        <v>27</v>
      </c>
      <c r="F6" s="1" t="s">
        <v>47</v>
      </c>
    </row>
    <row r="7" spans="1:6" x14ac:dyDescent="0.3">
      <c r="A7" s="1" t="s">
        <v>1276</v>
      </c>
      <c r="B7" s="13">
        <v>44929</v>
      </c>
      <c r="C7" s="1" t="s">
        <v>1232</v>
      </c>
      <c r="D7" s="1" t="s">
        <v>43</v>
      </c>
      <c r="E7" s="1">
        <v>91</v>
      </c>
      <c r="F7" s="1" t="s">
        <v>48</v>
      </c>
    </row>
    <row r="8" spans="1:6" x14ac:dyDescent="0.3">
      <c r="A8" s="1" t="s">
        <v>1277</v>
      </c>
      <c r="B8" s="13">
        <v>44929</v>
      </c>
      <c r="C8" s="1" t="s">
        <v>1187</v>
      </c>
      <c r="D8" s="1" t="s">
        <v>41</v>
      </c>
      <c r="E8" s="1">
        <v>17</v>
      </c>
      <c r="F8" s="1" t="s">
        <v>49</v>
      </c>
    </row>
    <row r="9" spans="1:6" x14ac:dyDescent="0.3">
      <c r="A9" s="1" t="s">
        <v>1278</v>
      </c>
      <c r="B9" s="13">
        <v>44929</v>
      </c>
      <c r="C9" s="1" t="s">
        <v>1226</v>
      </c>
      <c r="D9" s="1" t="s">
        <v>43</v>
      </c>
      <c r="E9" s="1">
        <v>81</v>
      </c>
      <c r="F9" s="1" t="s">
        <v>50</v>
      </c>
    </row>
    <row r="10" spans="1:6" x14ac:dyDescent="0.3">
      <c r="A10" s="1" t="s">
        <v>1279</v>
      </c>
      <c r="B10" s="13">
        <v>44930</v>
      </c>
      <c r="C10" s="1" t="s">
        <v>1117</v>
      </c>
      <c r="D10" s="1" t="s">
        <v>43</v>
      </c>
      <c r="E10" s="1">
        <v>78</v>
      </c>
      <c r="F10" s="1" t="s">
        <v>51</v>
      </c>
    </row>
    <row r="11" spans="1:6" x14ac:dyDescent="0.3">
      <c r="A11" s="1" t="s">
        <v>1280</v>
      </c>
      <c r="B11" s="13">
        <v>44930</v>
      </c>
      <c r="C11" s="1" t="s">
        <v>1138</v>
      </c>
      <c r="D11" s="1" t="s">
        <v>43</v>
      </c>
      <c r="E11" s="1">
        <v>55</v>
      </c>
      <c r="F11" s="1" t="s">
        <v>52</v>
      </c>
    </row>
    <row r="12" spans="1:6" x14ac:dyDescent="0.3">
      <c r="A12" s="1" t="s">
        <v>1281</v>
      </c>
      <c r="B12" s="13">
        <v>44930</v>
      </c>
      <c r="C12" s="1" t="s">
        <v>1219</v>
      </c>
      <c r="D12" s="1" t="s">
        <v>43</v>
      </c>
      <c r="E12" s="1">
        <v>60</v>
      </c>
      <c r="F12" s="1" t="s">
        <v>53</v>
      </c>
    </row>
    <row r="13" spans="1:6" x14ac:dyDescent="0.3">
      <c r="A13" s="1" t="s">
        <v>1282</v>
      </c>
      <c r="B13" s="13">
        <v>44930</v>
      </c>
      <c r="C13" s="1" t="s">
        <v>1187</v>
      </c>
      <c r="D13" s="1" t="s">
        <v>41</v>
      </c>
      <c r="E13" s="1">
        <v>53</v>
      </c>
      <c r="F13" s="1" t="s">
        <v>54</v>
      </c>
    </row>
    <row r="14" spans="1:6" x14ac:dyDescent="0.3">
      <c r="A14" s="1" t="s">
        <v>1283</v>
      </c>
      <c r="B14" s="13">
        <v>44930</v>
      </c>
      <c r="C14" s="1" t="s">
        <v>1091</v>
      </c>
      <c r="D14" s="1" t="s">
        <v>43</v>
      </c>
      <c r="E14" s="1">
        <v>94</v>
      </c>
      <c r="F14" s="1" t="s">
        <v>55</v>
      </c>
    </row>
    <row r="15" spans="1:6" x14ac:dyDescent="0.3">
      <c r="A15" s="1" t="s">
        <v>1284</v>
      </c>
      <c r="B15" s="13">
        <v>44930</v>
      </c>
      <c r="C15" s="1" t="s">
        <v>1246</v>
      </c>
      <c r="D15" s="1" t="s">
        <v>41</v>
      </c>
      <c r="E15" s="1">
        <v>77</v>
      </c>
      <c r="F15" s="1" t="s">
        <v>56</v>
      </c>
    </row>
    <row r="16" spans="1:6" x14ac:dyDescent="0.3">
      <c r="A16" s="1" t="s">
        <v>1285</v>
      </c>
      <c r="B16" s="13">
        <v>44931</v>
      </c>
      <c r="C16" s="1" t="s">
        <v>1225</v>
      </c>
      <c r="D16" s="1" t="s">
        <v>43</v>
      </c>
      <c r="E16" s="1">
        <v>34</v>
      </c>
      <c r="F16" s="1" t="s">
        <v>57</v>
      </c>
    </row>
    <row r="17" spans="1:6" x14ac:dyDescent="0.3">
      <c r="A17" s="1" t="s">
        <v>1286</v>
      </c>
      <c r="B17" s="13">
        <v>44931</v>
      </c>
      <c r="C17" s="1" t="s">
        <v>1174</v>
      </c>
      <c r="D17" s="1" t="s">
        <v>43</v>
      </c>
      <c r="E17" s="1">
        <v>79</v>
      </c>
      <c r="F17" s="1" t="s">
        <v>58</v>
      </c>
    </row>
    <row r="18" spans="1:6" x14ac:dyDescent="0.3">
      <c r="A18" s="1" t="s">
        <v>1287</v>
      </c>
      <c r="B18" s="13">
        <v>44931</v>
      </c>
      <c r="C18" s="1" t="s">
        <v>1113</v>
      </c>
      <c r="D18" s="1" t="s">
        <v>43</v>
      </c>
      <c r="E18" s="1">
        <v>76</v>
      </c>
      <c r="F18" s="1" t="s">
        <v>59</v>
      </c>
    </row>
    <row r="19" spans="1:6" x14ac:dyDescent="0.3">
      <c r="A19" s="1" t="s">
        <v>1288</v>
      </c>
      <c r="B19" s="13">
        <v>44932</v>
      </c>
      <c r="C19" s="1" t="s">
        <v>1212</v>
      </c>
      <c r="D19" s="1" t="s">
        <v>41</v>
      </c>
      <c r="E19" s="1">
        <v>50</v>
      </c>
      <c r="F19" s="1" t="s">
        <v>60</v>
      </c>
    </row>
    <row r="20" spans="1:6" x14ac:dyDescent="0.3">
      <c r="A20" s="1" t="s">
        <v>1289</v>
      </c>
      <c r="B20" s="13">
        <v>44932</v>
      </c>
      <c r="C20" s="1" t="s">
        <v>1224</v>
      </c>
      <c r="D20" s="1" t="s">
        <v>43</v>
      </c>
      <c r="E20" s="1">
        <v>25</v>
      </c>
      <c r="F20" s="1" t="s">
        <v>61</v>
      </c>
    </row>
    <row r="21" spans="1:6" x14ac:dyDescent="0.3">
      <c r="A21" s="1" t="s">
        <v>1290</v>
      </c>
      <c r="B21" s="13">
        <v>44933</v>
      </c>
      <c r="C21" s="1" t="s">
        <v>1203</v>
      </c>
      <c r="D21" s="1" t="s">
        <v>43</v>
      </c>
      <c r="E21" s="1">
        <v>38</v>
      </c>
      <c r="F21" s="1" t="s">
        <v>62</v>
      </c>
    </row>
    <row r="22" spans="1:6" x14ac:dyDescent="0.3">
      <c r="A22" s="1" t="s">
        <v>1291</v>
      </c>
      <c r="B22" s="13">
        <v>44933</v>
      </c>
      <c r="C22" s="1" t="s">
        <v>1199</v>
      </c>
      <c r="D22" s="1" t="s">
        <v>43</v>
      </c>
      <c r="E22" s="1">
        <v>45</v>
      </c>
      <c r="F22" s="1" t="s">
        <v>63</v>
      </c>
    </row>
    <row r="23" spans="1:6" x14ac:dyDescent="0.3">
      <c r="A23" s="1" t="s">
        <v>1292</v>
      </c>
      <c r="B23" s="13">
        <v>44933</v>
      </c>
      <c r="C23" s="1" t="s">
        <v>1186</v>
      </c>
      <c r="D23" s="1" t="s">
        <v>41</v>
      </c>
      <c r="E23" s="1">
        <v>49</v>
      </c>
      <c r="F23" s="1" t="s">
        <v>64</v>
      </c>
    </row>
    <row r="24" spans="1:6" x14ac:dyDescent="0.3">
      <c r="A24" s="1" t="s">
        <v>1293</v>
      </c>
      <c r="B24" s="13">
        <v>44933</v>
      </c>
      <c r="C24" s="1" t="s">
        <v>1179</v>
      </c>
      <c r="D24" s="1" t="s">
        <v>41</v>
      </c>
      <c r="E24" s="1">
        <v>89</v>
      </c>
      <c r="F24" s="1" t="s">
        <v>65</v>
      </c>
    </row>
    <row r="25" spans="1:6" x14ac:dyDescent="0.3">
      <c r="A25" s="1" t="s">
        <v>1294</v>
      </c>
      <c r="B25" s="13">
        <v>44933</v>
      </c>
      <c r="C25" s="1" t="s">
        <v>1085</v>
      </c>
      <c r="D25" s="1" t="s">
        <v>43</v>
      </c>
      <c r="E25" s="1">
        <v>47</v>
      </c>
      <c r="F25" s="1" t="s">
        <v>66</v>
      </c>
    </row>
    <row r="26" spans="1:6" x14ac:dyDescent="0.3">
      <c r="A26" s="1" t="s">
        <v>1295</v>
      </c>
      <c r="B26" s="13">
        <v>44934</v>
      </c>
      <c r="C26" s="1" t="s">
        <v>1195</v>
      </c>
      <c r="D26" s="1" t="s">
        <v>43</v>
      </c>
      <c r="E26" s="1">
        <v>53</v>
      </c>
      <c r="F26" s="1" t="s">
        <v>67</v>
      </c>
    </row>
    <row r="27" spans="1:6" x14ac:dyDescent="0.3">
      <c r="A27" s="1" t="s">
        <v>1296</v>
      </c>
      <c r="B27" s="13">
        <v>44934</v>
      </c>
      <c r="C27" s="1" t="s">
        <v>1085</v>
      </c>
      <c r="D27" s="1" t="s">
        <v>43</v>
      </c>
      <c r="E27" s="1">
        <v>65</v>
      </c>
      <c r="F27" s="1" t="s">
        <v>68</v>
      </c>
    </row>
    <row r="28" spans="1:6" x14ac:dyDescent="0.3">
      <c r="A28" s="1" t="s">
        <v>1297</v>
      </c>
      <c r="B28" s="13">
        <v>44935</v>
      </c>
      <c r="C28" s="1" t="s">
        <v>1234</v>
      </c>
      <c r="D28" s="1" t="s">
        <v>43</v>
      </c>
      <c r="E28" s="1">
        <v>90</v>
      </c>
      <c r="F28" s="1" t="s">
        <v>69</v>
      </c>
    </row>
    <row r="29" spans="1:6" x14ac:dyDescent="0.3">
      <c r="A29" s="1" t="s">
        <v>1298</v>
      </c>
      <c r="B29" s="13">
        <v>44935</v>
      </c>
      <c r="C29" s="1" t="s">
        <v>1141</v>
      </c>
      <c r="D29" s="1" t="s">
        <v>41</v>
      </c>
      <c r="E29" s="1">
        <v>65</v>
      </c>
      <c r="F29" s="1" t="s">
        <v>70</v>
      </c>
    </row>
    <row r="30" spans="1:6" x14ac:dyDescent="0.3">
      <c r="A30" s="1" t="s">
        <v>1299</v>
      </c>
      <c r="B30" s="13">
        <v>44935</v>
      </c>
      <c r="C30" s="1" t="s">
        <v>1159</v>
      </c>
      <c r="D30" s="1" t="s">
        <v>41</v>
      </c>
      <c r="E30" s="1">
        <v>30</v>
      </c>
      <c r="F30" s="1" t="s">
        <v>71</v>
      </c>
    </row>
    <row r="31" spans="1:6" x14ac:dyDescent="0.3">
      <c r="A31" s="1" t="s">
        <v>1300</v>
      </c>
      <c r="B31" s="13">
        <v>44935</v>
      </c>
      <c r="C31" s="1" t="s">
        <v>1102</v>
      </c>
      <c r="D31" s="1" t="s">
        <v>43</v>
      </c>
      <c r="E31" s="1">
        <v>34</v>
      </c>
      <c r="F31" s="1" t="s">
        <v>72</v>
      </c>
    </row>
    <row r="32" spans="1:6" x14ac:dyDescent="0.3">
      <c r="A32" s="1" t="s">
        <v>1301</v>
      </c>
      <c r="B32" s="13">
        <v>44935</v>
      </c>
      <c r="C32" s="1" t="s">
        <v>1179</v>
      </c>
      <c r="D32" s="1" t="s">
        <v>41</v>
      </c>
      <c r="E32" s="1">
        <v>54</v>
      </c>
      <c r="F32" s="1" t="s">
        <v>73</v>
      </c>
    </row>
    <row r="33" spans="1:6" x14ac:dyDescent="0.3">
      <c r="A33" s="1" t="s">
        <v>1302</v>
      </c>
      <c r="B33" s="13">
        <v>44936</v>
      </c>
      <c r="C33" s="1" t="s">
        <v>1220</v>
      </c>
      <c r="D33" s="1" t="s">
        <v>41</v>
      </c>
      <c r="E33" s="1">
        <v>67</v>
      </c>
      <c r="F33" s="1" t="s">
        <v>74</v>
      </c>
    </row>
    <row r="34" spans="1:6" x14ac:dyDescent="0.3">
      <c r="A34" s="1" t="s">
        <v>1303</v>
      </c>
      <c r="B34" s="13">
        <v>44936</v>
      </c>
      <c r="C34" s="1" t="s">
        <v>1268</v>
      </c>
      <c r="D34" s="1" t="s">
        <v>41</v>
      </c>
      <c r="E34" s="1">
        <v>50</v>
      </c>
      <c r="F34" s="1" t="s">
        <v>75</v>
      </c>
    </row>
    <row r="35" spans="1:6" x14ac:dyDescent="0.3">
      <c r="A35" s="1" t="s">
        <v>1304</v>
      </c>
      <c r="B35" s="13">
        <v>44937</v>
      </c>
      <c r="C35" s="1" t="s">
        <v>1234</v>
      </c>
      <c r="D35" s="1" t="s">
        <v>43</v>
      </c>
      <c r="E35" s="1">
        <v>13</v>
      </c>
      <c r="F35" s="1" t="s">
        <v>76</v>
      </c>
    </row>
    <row r="36" spans="1:6" x14ac:dyDescent="0.3">
      <c r="A36" s="1" t="s">
        <v>1305</v>
      </c>
      <c r="B36" s="13">
        <v>44937</v>
      </c>
      <c r="C36" s="1" t="s">
        <v>1233</v>
      </c>
      <c r="D36" s="1" t="s">
        <v>41</v>
      </c>
      <c r="E36" s="1">
        <v>18</v>
      </c>
      <c r="F36" s="1" t="s">
        <v>77</v>
      </c>
    </row>
    <row r="37" spans="1:6" x14ac:dyDescent="0.3">
      <c r="A37" s="1" t="s">
        <v>1306</v>
      </c>
      <c r="B37" s="13">
        <v>44937</v>
      </c>
      <c r="C37" s="1" t="s">
        <v>1161</v>
      </c>
      <c r="D37" s="1" t="s">
        <v>41</v>
      </c>
      <c r="E37" s="1">
        <v>24</v>
      </c>
      <c r="F37" s="1" t="s">
        <v>78</v>
      </c>
    </row>
    <row r="38" spans="1:6" x14ac:dyDescent="0.3">
      <c r="A38" s="1" t="s">
        <v>1307</v>
      </c>
      <c r="B38" s="13">
        <v>44937</v>
      </c>
      <c r="C38" s="1" t="s">
        <v>1146</v>
      </c>
      <c r="D38" s="1" t="s">
        <v>43</v>
      </c>
      <c r="E38" s="1">
        <v>40</v>
      </c>
      <c r="F38" s="1" t="s">
        <v>79</v>
      </c>
    </row>
    <row r="39" spans="1:6" x14ac:dyDescent="0.3">
      <c r="A39" s="1" t="s">
        <v>1308</v>
      </c>
      <c r="B39" s="13">
        <v>44937</v>
      </c>
      <c r="C39" s="1" t="s">
        <v>1161</v>
      </c>
      <c r="D39" s="1" t="s">
        <v>41</v>
      </c>
      <c r="E39" s="1">
        <v>53</v>
      </c>
      <c r="F39" s="1" t="s">
        <v>80</v>
      </c>
    </row>
    <row r="40" spans="1:6" x14ac:dyDescent="0.3">
      <c r="A40" s="1" t="s">
        <v>1309</v>
      </c>
      <c r="B40" s="13">
        <v>44938</v>
      </c>
      <c r="C40" s="1" t="s">
        <v>1146</v>
      </c>
      <c r="D40" s="1" t="s">
        <v>41</v>
      </c>
      <c r="E40" s="1">
        <v>11</v>
      </c>
      <c r="F40" s="1" t="s">
        <v>81</v>
      </c>
    </row>
    <row r="41" spans="1:6" x14ac:dyDescent="0.3">
      <c r="A41" s="1" t="s">
        <v>1310</v>
      </c>
      <c r="B41" s="13">
        <v>44938</v>
      </c>
      <c r="C41" s="1" t="s">
        <v>1136</v>
      </c>
      <c r="D41" s="1" t="s">
        <v>43</v>
      </c>
      <c r="E41" s="1">
        <v>17</v>
      </c>
      <c r="F41" s="1" t="s">
        <v>82</v>
      </c>
    </row>
    <row r="42" spans="1:6" x14ac:dyDescent="0.3">
      <c r="A42" s="1" t="s">
        <v>1311</v>
      </c>
      <c r="B42" s="13">
        <v>44938</v>
      </c>
      <c r="C42" s="1" t="s">
        <v>1123</v>
      </c>
      <c r="D42" s="1" t="s">
        <v>43</v>
      </c>
      <c r="E42" s="1">
        <v>14</v>
      </c>
      <c r="F42" s="1" t="s">
        <v>83</v>
      </c>
    </row>
    <row r="43" spans="1:6" x14ac:dyDescent="0.3">
      <c r="A43" s="1" t="s">
        <v>1312</v>
      </c>
      <c r="B43" s="13">
        <v>44938</v>
      </c>
      <c r="C43" s="1" t="s">
        <v>1134</v>
      </c>
      <c r="D43" s="1" t="s">
        <v>41</v>
      </c>
      <c r="E43" s="1">
        <v>100</v>
      </c>
      <c r="F43" s="1" t="s">
        <v>84</v>
      </c>
    </row>
    <row r="44" spans="1:6" x14ac:dyDescent="0.3">
      <c r="A44" s="1" t="s">
        <v>1313</v>
      </c>
      <c r="B44" s="13">
        <v>44938</v>
      </c>
      <c r="C44" s="1" t="s">
        <v>1174</v>
      </c>
      <c r="D44" s="1" t="s">
        <v>43</v>
      </c>
      <c r="E44" s="1">
        <v>67</v>
      </c>
      <c r="F44" s="1" t="s">
        <v>85</v>
      </c>
    </row>
    <row r="45" spans="1:6" x14ac:dyDescent="0.3">
      <c r="A45" s="1" t="s">
        <v>1314</v>
      </c>
      <c r="B45" s="13">
        <v>44938</v>
      </c>
      <c r="C45" s="1" t="s">
        <v>1147</v>
      </c>
      <c r="D45" s="1" t="s">
        <v>43</v>
      </c>
      <c r="E45" s="1">
        <v>60</v>
      </c>
      <c r="F45" s="1" t="s">
        <v>86</v>
      </c>
    </row>
    <row r="46" spans="1:6" x14ac:dyDescent="0.3">
      <c r="A46" s="1" t="s">
        <v>1315</v>
      </c>
      <c r="B46" s="13">
        <v>44938</v>
      </c>
      <c r="C46" s="1" t="s">
        <v>1180</v>
      </c>
      <c r="D46" s="1" t="s">
        <v>41</v>
      </c>
      <c r="E46" s="1">
        <v>45</v>
      </c>
      <c r="F46" s="1" t="s">
        <v>87</v>
      </c>
    </row>
    <row r="47" spans="1:6" x14ac:dyDescent="0.3">
      <c r="A47" s="1" t="s">
        <v>1316</v>
      </c>
      <c r="B47" s="13">
        <v>44939</v>
      </c>
      <c r="C47" s="1" t="s">
        <v>1083</v>
      </c>
      <c r="D47" s="1" t="s">
        <v>43</v>
      </c>
      <c r="E47" s="1">
        <v>58</v>
      </c>
      <c r="F47" s="1" t="s">
        <v>88</v>
      </c>
    </row>
    <row r="48" spans="1:6" x14ac:dyDescent="0.3">
      <c r="A48" s="1" t="s">
        <v>1317</v>
      </c>
      <c r="B48" s="13">
        <v>44939</v>
      </c>
      <c r="C48" s="1" t="s">
        <v>1263</v>
      </c>
      <c r="D48" s="1" t="s">
        <v>43</v>
      </c>
      <c r="E48" s="1">
        <v>98</v>
      </c>
      <c r="F48" s="1" t="s">
        <v>89</v>
      </c>
    </row>
    <row r="49" spans="1:6" x14ac:dyDescent="0.3">
      <c r="A49" s="1" t="s">
        <v>1318</v>
      </c>
      <c r="B49" s="13">
        <v>44940</v>
      </c>
      <c r="C49" s="1" t="s">
        <v>1122</v>
      </c>
      <c r="D49" s="1" t="s">
        <v>43</v>
      </c>
      <c r="E49" s="1">
        <v>42</v>
      </c>
      <c r="F49" s="1" t="s">
        <v>90</v>
      </c>
    </row>
    <row r="50" spans="1:6" x14ac:dyDescent="0.3">
      <c r="A50" s="1" t="s">
        <v>1319</v>
      </c>
      <c r="B50" s="13">
        <v>44940</v>
      </c>
      <c r="C50" s="1" t="s">
        <v>1242</v>
      </c>
      <c r="D50" s="1" t="s">
        <v>41</v>
      </c>
      <c r="E50" s="1">
        <v>38</v>
      </c>
      <c r="F50" s="1" t="s">
        <v>91</v>
      </c>
    </row>
    <row r="51" spans="1:6" x14ac:dyDescent="0.3">
      <c r="A51" s="1" t="s">
        <v>1320</v>
      </c>
      <c r="B51" s="13">
        <v>44940</v>
      </c>
      <c r="C51" s="1" t="s">
        <v>1252</v>
      </c>
      <c r="D51" s="1" t="s">
        <v>41</v>
      </c>
      <c r="E51" s="1">
        <v>36</v>
      </c>
      <c r="F51" s="1" t="s">
        <v>92</v>
      </c>
    </row>
    <row r="52" spans="1:6" x14ac:dyDescent="0.3">
      <c r="A52" s="1" t="s">
        <v>1321</v>
      </c>
      <c r="B52" s="13">
        <v>44940</v>
      </c>
      <c r="C52" s="1" t="s">
        <v>1206</v>
      </c>
      <c r="D52" s="1" t="s">
        <v>43</v>
      </c>
      <c r="E52" s="1">
        <v>67</v>
      </c>
      <c r="F52" s="1" t="s">
        <v>93</v>
      </c>
    </row>
    <row r="53" spans="1:6" x14ac:dyDescent="0.3">
      <c r="A53" s="1" t="s">
        <v>1322</v>
      </c>
      <c r="B53" s="13">
        <v>44941</v>
      </c>
      <c r="C53" s="1" t="s">
        <v>1109</v>
      </c>
      <c r="D53" s="1" t="s">
        <v>43</v>
      </c>
      <c r="E53" s="1">
        <v>37</v>
      </c>
      <c r="F53" s="1" t="s">
        <v>94</v>
      </c>
    </row>
    <row r="54" spans="1:6" x14ac:dyDescent="0.3">
      <c r="A54" s="1" t="s">
        <v>1323</v>
      </c>
      <c r="B54" s="13">
        <v>44941</v>
      </c>
      <c r="C54" s="1" t="s">
        <v>1134</v>
      </c>
      <c r="D54" s="1" t="s">
        <v>43</v>
      </c>
      <c r="E54" s="1">
        <v>20</v>
      </c>
      <c r="F54" s="1" t="s">
        <v>95</v>
      </c>
    </row>
    <row r="55" spans="1:6" x14ac:dyDescent="0.3">
      <c r="A55" s="1" t="s">
        <v>1324</v>
      </c>
      <c r="B55" s="13">
        <v>44941</v>
      </c>
      <c r="C55" s="1" t="s">
        <v>1170</v>
      </c>
      <c r="D55" s="1" t="s">
        <v>43</v>
      </c>
      <c r="E55" s="1">
        <v>62</v>
      </c>
      <c r="F55" s="1" t="s">
        <v>96</v>
      </c>
    </row>
    <row r="56" spans="1:6" x14ac:dyDescent="0.3">
      <c r="A56" s="1" t="s">
        <v>1325</v>
      </c>
      <c r="B56" s="13">
        <v>44941</v>
      </c>
      <c r="C56" s="1" t="s">
        <v>1122</v>
      </c>
      <c r="D56" s="1" t="s">
        <v>43</v>
      </c>
      <c r="E56" s="1">
        <v>19</v>
      </c>
      <c r="F56" s="1" t="s">
        <v>97</v>
      </c>
    </row>
    <row r="57" spans="1:6" x14ac:dyDescent="0.3">
      <c r="A57" s="1" t="s">
        <v>1326</v>
      </c>
      <c r="B57" s="13">
        <v>44941</v>
      </c>
      <c r="C57" s="1" t="s">
        <v>1222</v>
      </c>
      <c r="D57" s="1" t="s">
        <v>41</v>
      </c>
      <c r="E57" s="1">
        <v>29</v>
      </c>
      <c r="F57" s="1" t="s">
        <v>98</v>
      </c>
    </row>
    <row r="58" spans="1:6" x14ac:dyDescent="0.3">
      <c r="A58" s="1" t="s">
        <v>1327</v>
      </c>
      <c r="B58" s="13">
        <v>44942</v>
      </c>
      <c r="C58" s="1" t="s">
        <v>1249</v>
      </c>
      <c r="D58" s="1" t="s">
        <v>43</v>
      </c>
      <c r="E58" s="1">
        <v>34</v>
      </c>
      <c r="F58" s="1" t="s">
        <v>99</v>
      </c>
    </row>
    <row r="59" spans="1:6" x14ac:dyDescent="0.3">
      <c r="A59" s="1" t="s">
        <v>1328</v>
      </c>
      <c r="B59" s="13">
        <v>44942</v>
      </c>
      <c r="C59" s="1" t="s">
        <v>1214</v>
      </c>
      <c r="D59" s="1" t="s">
        <v>43</v>
      </c>
      <c r="E59" s="1">
        <v>92</v>
      </c>
      <c r="F59" s="1" t="s">
        <v>100</v>
      </c>
    </row>
    <row r="60" spans="1:6" x14ac:dyDescent="0.3">
      <c r="A60" s="1" t="s">
        <v>1329</v>
      </c>
      <c r="B60" s="13">
        <v>44943</v>
      </c>
      <c r="C60" s="1" t="s">
        <v>1165</v>
      </c>
      <c r="D60" s="1" t="s">
        <v>43</v>
      </c>
      <c r="E60" s="1">
        <v>33</v>
      </c>
      <c r="F60" s="1" t="s">
        <v>101</v>
      </c>
    </row>
    <row r="61" spans="1:6" x14ac:dyDescent="0.3">
      <c r="A61" s="1" t="s">
        <v>1330</v>
      </c>
      <c r="B61" s="13">
        <v>44943</v>
      </c>
      <c r="C61" s="1" t="s">
        <v>1248</v>
      </c>
      <c r="D61" s="1" t="s">
        <v>41</v>
      </c>
      <c r="E61" s="1">
        <v>12</v>
      </c>
      <c r="F61" s="1" t="s">
        <v>102</v>
      </c>
    </row>
    <row r="62" spans="1:6" x14ac:dyDescent="0.3">
      <c r="A62" s="1" t="s">
        <v>1331</v>
      </c>
      <c r="B62" s="13">
        <v>44943</v>
      </c>
      <c r="C62" s="1" t="s">
        <v>1129</v>
      </c>
      <c r="D62" s="1" t="s">
        <v>41</v>
      </c>
      <c r="E62" s="1">
        <v>83</v>
      </c>
      <c r="F62" s="1" t="s">
        <v>103</v>
      </c>
    </row>
    <row r="63" spans="1:6" x14ac:dyDescent="0.3">
      <c r="A63" s="1" t="s">
        <v>1332</v>
      </c>
      <c r="B63" s="13">
        <v>44943</v>
      </c>
      <c r="C63" s="1" t="s">
        <v>1238</v>
      </c>
      <c r="D63" s="1" t="s">
        <v>43</v>
      </c>
      <c r="E63" s="1">
        <v>21</v>
      </c>
      <c r="F63" s="1" t="s">
        <v>104</v>
      </c>
    </row>
    <row r="64" spans="1:6" x14ac:dyDescent="0.3">
      <c r="A64" s="1" t="s">
        <v>1333</v>
      </c>
      <c r="B64" s="13">
        <v>44943</v>
      </c>
      <c r="C64" s="1" t="s">
        <v>1191</v>
      </c>
      <c r="D64" s="1" t="s">
        <v>43</v>
      </c>
      <c r="E64" s="1">
        <v>37</v>
      </c>
      <c r="F64" s="1" t="s">
        <v>105</v>
      </c>
    </row>
    <row r="65" spans="1:6" x14ac:dyDescent="0.3">
      <c r="A65" s="1" t="s">
        <v>1334</v>
      </c>
      <c r="B65" s="13">
        <v>44943</v>
      </c>
      <c r="C65" s="1" t="s">
        <v>1214</v>
      </c>
      <c r="D65" s="1" t="s">
        <v>41</v>
      </c>
      <c r="E65" s="1">
        <v>77</v>
      </c>
      <c r="F65" s="1" t="s">
        <v>106</v>
      </c>
    </row>
    <row r="66" spans="1:6" x14ac:dyDescent="0.3">
      <c r="A66" s="1" t="s">
        <v>1335</v>
      </c>
      <c r="B66" s="13">
        <v>44944</v>
      </c>
      <c r="C66" s="1" t="s">
        <v>1165</v>
      </c>
      <c r="D66" s="1" t="s">
        <v>43</v>
      </c>
      <c r="E66" s="1">
        <v>30</v>
      </c>
      <c r="F66" s="1" t="s">
        <v>107</v>
      </c>
    </row>
    <row r="67" spans="1:6" x14ac:dyDescent="0.3">
      <c r="A67" s="1" t="s">
        <v>1336</v>
      </c>
      <c r="B67" s="13">
        <v>44945</v>
      </c>
      <c r="C67" s="1" t="s">
        <v>1225</v>
      </c>
      <c r="D67" s="1" t="s">
        <v>43</v>
      </c>
      <c r="E67" s="1">
        <v>26</v>
      </c>
      <c r="F67" s="1" t="s">
        <v>108</v>
      </c>
    </row>
    <row r="68" spans="1:6" x14ac:dyDescent="0.3">
      <c r="A68" s="1" t="s">
        <v>1337</v>
      </c>
      <c r="B68" s="13">
        <v>44946</v>
      </c>
      <c r="C68" s="1" t="s">
        <v>1260</v>
      </c>
      <c r="D68" s="1" t="s">
        <v>41</v>
      </c>
      <c r="E68" s="1">
        <v>72</v>
      </c>
      <c r="F68" s="1" t="s">
        <v>109</v>
      </c>
    </row>
    <row r="69" spans="1:6" x14ac:dyDescent="0.3">
      <c r="A69" s="1" t="s">
        <v>1338</v>
      </c>
      <c r="B69" s="13">
        <v>44946</v>
      </c>
      <c r="C69" s="1" t="s">
        <v>1150</v>
      </c>
      <c r="D69" s="1" t="s">
        <v>43</v>
      </c>
      <c r="E69" s="1">
        <v>59</v>
      </c>
      <c r="F69" s="1" t="s">
        <v>110</v>
      </c>
    </row>
    <row r="70" spans="1:6" x14ac:dyDescent="0.3">
      <c r="A70" s="1" t="s">
        <v>1339</v>
      </c>
      <c r="B70" s="13">
        <v>44946</v>
      </c>
      <c r="C70" s="1" t="s">
        <v>1246</v>
      </c>
      <c r="D70" s="1" t="s">
        <v>43</v>
      </c>
      <c r="E70" s="1">
        <v>34</v>
      </c>
      <c r="F70" s="1" t="s">
        <v>111</v>
      </c>
    </row>
    <row r="71" spans="1:6" x14ac:dyDescent="0.3">
      <c r="A71" s="1" t="s">
        <v>1340</v>
      </c>
      <c r="B71" s="13">
        <v>44946</v>
      </c>
      <c r="C71" s="1" t="s">
        <v>1112</v>
      </c>
      <c r="D71" s="1" t="s">
        <v>43</v>
      </c>
      <c r="E71" s="1">
        <v>82</v>
      </c>
      <c r="F71" s="1" t="s">
        <v>112</v>
      </c>
    </row>
    <row r="72" spans="1:6" x14ac:dyDescent="0.3">
      <c r="A72" s="1" t="s">
        <v>1341</v>
      </c>
      <c r="B72" s="13">
        <v>44947</v>
      </c>
      <c r="C72" s="1" t="s">
        <v>1083</v>
      </c>
      <c r="D72" s="1" t="s">
        <v>41</v>
      </c>
      <c r="E72" s="1">
        <v>94</v>
      </c>
      <c r="F72" s="1" t="s">
        <v>113</v>
      </c>
    </row>
    <row r="73" spans="1:6" x14ac:dyDescent="0.3">
      <c r="A73" s="1" t="s">
        <v>1342</v>
      </c>
      <c r="B73" s="13">
        <v>44948</v>
      </c>
      <c r="C73" s="1" t="s">
        <v>1187</v>
      </c>
      <c r="D73" s="1" t="s">
        <v>41</v>
      </c>
      <c r="E73" s="1">
        <v>59</v>
      </c>
      <c r="F73" s="1" t="s">
        <v>114</v>
      </c>
    </row>
    <row r="74" spans="1:6" x14ac:dyDescent="0.3">
      <c r="A74" s="1" t="s">
        <v>1343</v>
      </c>
      <c r="B74" s="13">
        <v>44948</v>
      </c>
      <c r="C74" s="1" t="s">
        <v>1222</v>
      </c>
      <c r="D74" s="1" t="s">
        <v>41</v>
      </c>
      <c r="E74" s="1">
        <v>18</v>
      </c>
      <c r="F74" s="1" t="s">
        <v>115</v>
      </c>
    </row>
    <row r="75" spans="1:6" x14ac:dyDescent="0.3">
      <c r="A75" s="1" t="s">
        <v>1344</v>
      </c>
      <c r="B75" s="13">
        <v>44948</v>
      </c>
      <c r="C75" s="1" t="s">
        <v>1234</v>
      </c>
      <c r="D75" s="1" t="s">
        <v>41</v>
      </c>
      <c r="E75" s="1">
        <v>55</v>
      </c>
      <c r="F75" s="1" t="s">
        <v>116</v>
      </c>
    </row>
    <row r="76" spans="1:6" x14ac:dyDescent="0.3">
      <c r="A76" s="1" t="s">
        <v>1345</v>
      </c>
      <c r="B76" s="13">
        <v>44949</v>
      </c>
      <c r="C76" s="1" t="s">
        <v>1115</v>
      </c>
      <c r="D76" s="1" t="s">
        <v>43</v>
      </c>
      <c r="E76" s="1">
        <v>31</v>
      </c>
      <c r="F76" s="1" t="s">
        <v>117</v>
      </c>
    </row>
    <row r="77" spans="1:6" x14ac:dyDescent="0.3">
      <c r="A77" s="1" t="s">
        <v>1346</v>
      </c>
      <c r="B77" s="13">
        <v>44949</v>
      </c>
      <c r="C77" s="1" t="s">
        <v>1090</v>
      </c>
      <c r="D77" s="1" t="s">
        <v>43</v>
      </c>
      <c r="E77" s="1">
        <v>27</v>
      </c>
      <c r="F77" s="1" t="s">
        <v>118</v>
      </c>
    </row>
    <row r="78" spans="1:6" x14ac:dyDescent="0.3">
      <c r="A78" s="1" t="s">
        <v>1347</v>
      </c>
      <c r="B78" s="13">
        <v>44949</v>
      </c>
      <c r="C78" s="1" t="s">
        <v>1095</v>
      </c>
      <c r="D78" s="1" t="s">
        <v>43</v>
      </c>
      <c r="E78" s="1">
        <v>76</v>
      </c>
      <c r="F78" s="1" t="s">
        <v>119</v>
      </c>
    </row>
    <row r="79" spans="1:6" x14ac:dyDescent="0.3">
      <c r="A79" s="1" t="s">
        <v>1348</v>
      </c>
      <c r="B79" s="13">
        <v>44950</v>
      </c>
      <c r="C79" s="1" t="s">
        <v>1120</v>
      </c>
      <c r="D79" s="1" t="s">
        <v>41</v>
      </c>
      <c r="E79" s="1">
        <v>40</v>
      </c>
      <c r="F79" s="1" t="s">
        <v>120</v>
      </c>
    </row>
    <row r="80" spans="1:6" x14ac:dyDescent="0.3">
      <c r="A80" s="1" t="s">
        <v>1349</v>
      </c>
      <c r="B80" s="13">
        <v>44950</v>
      </c>
      <c r="C80" s="1" t="s">
        <v>1147</v>
      </c>
      <c r="D80" s="1" t="s">
        <v>41</v>
      </c>
      <c r="E80" s="1">
        <f>68+25</f>
        <v>93</v>
      </c>
      <c r="F80" s="1" t="s">
        <v>121</v>
      </c>
    </row>
    <row r="81" spans="1:6" x14ac:dyDescent="0.3">
      <c r="A81" s="1" t="s">
        <v>1350</v>
      </c>
      <c r="B81" s="13">
        <v>44951</v>
      </c>
      <c r="C81" s="1" t="s">
        <v>1237</v>
      </c>
      <c r="D81" s="1" t="s">
        <v>41</v>
      </c>
      <c r="E81" s="1">
        <v>59</v>
      </c>
      <c r="F81" s="1" t="s">
        <v>122</v>
      </c>
    </row>
    <row r="82" spans="1:6" x14ac:dyDescent="0.3">
      <c r="A82" s="1" t="s">
        <v>1351</v>
      </c>
      <c r="B82" s="13">
        <v>44951</v>
      </c>
      <c r="C82" s="1" t="s">
        <v>1225</v>
      </c>
      <c r="D82" s="1" t="s">
        <v>41</v>
      </c>
      <c r="E82" s="1">
        <v>24</v>
      </c>
      <c r="F82" s="1" t="s">
        <v>123</v>
      </c>
    </row>
    <row r="83" spans="1:6" x14ac:dyDescent="0.3">
      <c r="A83" s="1" t="s">
        <v>1352</v>
      </c>
      <c r="B83" s="13">
        <v>44951</v>
      </c>
      <c r="C83" s="1" t="s">
        <v>1214</v>
      </c>
      <c r="D83" s="1" t="s">
        <v>43</v>
      </c>
      <c r="E83" s="1">
        <v>59</v>
      </c>
      <c r="F83" s="1" t="s">
        <v>124</v>
      </c>
    </row>
    <row r="84" spans="1:6" x14ac:dyDescent="0.3">
      <c r="A84" s="1" t="s">
        <v>1353</v>
      </c>
      <c r="B84" s="13">
        <v>44951</v>
      </c>
      <c r="C84" s="1" t="s">
        <v>1234</v>
      </c>
      <c r="D84" s="1" t="s">
        <v>41</v>
      </c>
      <c r="E84" s="1">
        <v>63</v>
      </c>
      <c r="F84" s="1" t="s">
        <v>125</v>
      </c>
    </row>
    <row r="85" spans="1:6" x14ac:dyDescent="0.3">
      <c r="A85" s="1" t="s">
        <v>1354</v>
      </c>
      <c r="B85" s="13">
        <v>44951</v>
      </c>
      <c r="C85" s="1" t="s">
        <v>1216</v>
      </c>
      <c r="D85" s="1" t="s">
        <v>41</v>
      </c>
      <c r="E85" s="1">
        <v>57</v>
      </c>
      <c r="F85" s="1" t="s">
        <v>126</v>
      </c>
    </row>
    <row r="86" spans="1:6" x14ac:dyDescent="0.3">
      <c r="A86" s="1" t="s">
        <v>1355</v>
      </c>
      <c r="B86" s="13">
        <v>44951</v>
      </c>
      <c r="C86" s="1" t="s">
        <v>1153</v>
      </c>
      <c r="D86" s="1" t="s">
        <v>41</v>
      </c>
      <c r="E86" s="1">
        <v>39</v>
      </c>
      <c r="F86" s="1" t="s">
        <v>127</v>
      </c>
    </row>
    <row r="87" spans="1:6" x14ac:dyDescent="0.3">
      <c r="A87" s="1" t="s">
        <v>1356</v>
      </c>
      <c r="B87" s="13">
        <v>44952</v>
      </c>
      <c r="C87" s="1" t="s">
        <v>1268</v>
      </c>
      <c r="D87" s="1" t="s">
        <v>41</v>
      </c>
      <c r="E87" s="1">
        <v>41</v>
      </c>
      <c r="F87" s="1" t="s">
        <v>128</v>
      </c>
    </row>
    <row r="88" spans="1:6" x14ac:dyDescent="0.3">
      <c r="A88" s="1" t="s">
        <v>1357</v>
      </c>
      <c r="B88" s="13">
        <v>44952</v>
      </c>
      <c r="C88" s="1" t="s">
        <v>1238</v>
      </c>
      <c r="D88" s="1" t="s">
        <v>41</v>
      </c>
      <c r="E88" s="1">
        <v>25</v>
      </c>
      <c r="F88" s="1" t="s">
        <v>129</v>
      </c>
    </row>
    <row r="89" spans="1:6" x14ac:dyDescent="0.3">
      <c r="A89" s="1" t="s">
        <v>1358</v>
      </c>
      <c r="B89" s="13">
        <v>44952</v>
      </c>
      <c r="C89" s="1" t="s">
        <v>1109</v>
      </c>
      <c r="D89" s="1" t="s">
        <v>41</v>
      </c>
      <c r="E89" s="1">
        <v>87</v>
      </c>
      <c r="F89" s="1" t="s">
        <v>130</v>
      </c>
    </row>
    <row r="90" spans="1:6" x14ac:dyDescent="0.3">
      <c r="A90" s="1" t="s">
        <v>1359</v>
      </c>
      <c r="B90" s="13">
        <v>44953</v>
      </c>
      <c r="C90" s="1" t="s">
        <v>1163</v>
      </c>
      <c r="D90" s="1" t="s">
        <v>41</v>
      </c>
      <c r="E90" s="1">
        <v>20</v>
      </c>
      <c r="F90" s="1" t="s">
        <v>131</v>
      </c>
    </row>
    <row r="91" spans="1:6" x14ac:dyDescent="0.3">
      <c r="A91" s="1" t="s">
        <v>1360</v>
      </c>
      <c r="B91" s="13">
        <v>44953</v>
      </c>
      <c r="C91" s="1" t="s">
        <v>1180</v>
      </c>
      <c r="D91" s="1" t="s">
        <v>43</v>
      </c>
      <c r="E91" s="1">
        <v>95</v>
      </c>
      <c r="F91" s="1" t="s">
        <v>132</v>
      </c>
    </row>
    <row r="92" spans="1:6" x14ac:dyDescent="0.3">
      <c r="A92" s="1" t="s">
        <v>1361</v>
      </c>
      <c r="B92" s="13">
        <v>44953</v>
      </c>
      <c r="C92" s="1" t="s">
        <v>1122</v>
      </c>
      <c r="D92" s="1" t="s">
        <v>41</v>
      </c>
      <c r="E92" s="1">
        <v>56</v>
      </c>
      <c r="F92" s="1" t="s">
        <v>133</v>
      </c>
    </row>
    <row r="93" spans="1:6" x14ac:dyDescent="0.3">
      <c r="A93" s="1" t="s">
        <v>1362</v>
      </c>
      <c r="B93" s="13">
        <v>44953</v>
      </c>
      <c r="C93" s="1" t="s">
        <v>1223</v>
      </c>
      <c r="D93" s="1" t="s">
        <v>43</v>
      </c>
      <c r="E93" s="1">
        <v>96</v>
      </c>
      <c r="F93" s="1" t="s">
        <v>134</v>
      </c>
    </row>
    <row r="94" spans="1:6" x14ac:dyDescent="0.3">
      <c r="A94" s="1" t="s">
        <v>1363</v>
      </c>
      <c r="B94" s="13">
        <v>44955</v>
      </c>
      <c r="C94" s="1" t="s">
        <v>1099</v>
      </c>
      <c r="D94" s="1" t="s">
        <v>43</v>
      </c>
      <c r="E94" s="1">
        <v>76</v>
      </c>
      <c r="F94" s="1" t="s">
        <v>135</v>
      </c>
    </row>
    <row r="95" spans="1:6" x14ac:dyDescent="0.3">
      <c r="A95" s="1" t="s">
        <v>1364</v>
      </c>
      <c r="B95" s="13">
        <v>44955</v>
      </c>
      <c r="C95" s="1" t="s">
        <v>1142</v>
      </c>
      <c r="D95" s="1" t="s">
        <v>41</v>
      </c>
      <c r="E95" s="1">
        <v>17</v>
      </c>
      <c r="F95" s="1" t="s">
        <v>136</v>
      </c>
    </row>
    <row r="96" spans="1:6" x14ac:dyDescent="0.3">
      <c r="A96" s="1" t="s">
        <v>1365</v>
      </c>
      <c r="B96" s="13">
        <v>44955</v>
      </c>
      <c r="C96" s="1" t="s">
        <v>1091</v>
      </c>
      <c r="D96" s="1" t="s">
        <v>43</v>
      </c>
      <c r="E96" s="1">
        <v>14</v>
      </c>
      <c r="F96" s="1" t="s">
        <v>137</v>
      </c>
    </row>
    <row r="97" spans="1:6" x14ac:dyDescent="0.3">
      <c r="A97" s="1" t="s">
        <v>1366</v>
      </c>
      <c r="B97" s="13">
        <v>44955</v>
      </c>
      <c r="C97" s="1" t="s">
        <v>1155</v>
      </c>
      <c r="D97" s="1" t="s">
        <v>43</v>
      </c>
      <c r="E97" s="1">
        <v>96</v>
      </c>
      <c r="F97" s="1" t="s">
        <v>138</v>
      </c>
    </row>
    <row r="98" spans="1:6" x14ac:dyDescent="0.3">
      <c r="A98" s="1" t="s">
        <v>1367</v>
      </c>
      <c r="B98" s="13">
        <v>44955</v>
      </c>
      <c r="C98" s="1" t="s">
        <v>1246</v>
      </c>
      <c r="D98" s="1" t="s">
        <v>43</v>
      </c>
      <c r="E98" s="1">
        <v>30</v>
      </c>
      <c r="F98" s="1" t="s">
        <v>139</v>
      </c>
    </row>
    <row r="99" spans="1:6" x14ac:dyDescent="0.3">
      <c r="A99" s="1" t="s">
        <v>1368</v>
      </c>
      <c r="B99" s="13">
        <v>44955</v>
      </c>
      <c r="C99" s="1" t="s">
        <v>1136</v>
      </c>
      <c r="D99" s="1" t="s">
        <v>41</v>
      </c>
      <c r="E99" s="1">
        <v>91</v>
      </c>
      <c r="F99" s="1" t="s">
        <v>140</v>
      </c>
    </row>
    <row r="100" spans="1:6" x14ac:dyDescent="0.3">
      <c r="A100" s="1" t="s">
        <v>1369</v>
      </c>
      <c r="B100" s="13">
        <v>44957</v>
      </c>
      <c r="C100" s="1" t="s">
        <v>1134</v>
      </c>
      <c r="D100" s="1" t="s">
        <v>41</v>
      </c>
      <c r="E100" s="1">
        <v>47</v>
      </c>
      <c r="F100" s="1" t="s">
        <v>141</v>
      </c>
    </row>
    <row r="101" spans="1:6" x14ac:dyDescent="0.3">
      <c r="A101" s="1" t="s">
        <v>1370</v>
      </c>
      <c r="B101" s="13">
        <v>44957</v>
      </c>
      <c r="C101" s="1" t="s">
        <v>1267</v>
      </c>
      <c r="D101" s="1" t="s">
        <v>41</v>
      </c>
      <c r="E101" s="1">
        <v>11</v>
      </c>
      <c r="F101" s="1" t="s">
        <v>142</v>
      </c>
    </row>
    <row r="102" spans="1:6" x14ac:dyDescent="0.3">
      <c r="A102" s="1" t="s">
        <v>1371</v>
      </c>
      <c r="B102" s="13">
        <v>44958</v>
      </c>
      <c r="C102" s="1" t="s">
        <v>1155</v>
      </c>
      <c r="D102" s="1" t="s">
        <v>41</v>
      </c>
      <c r="E102" s="1">
        <v>95</v>
      </c>
      <c r="F102" s="1" t="s">
        <v>143</v>
      </c>
    </row>
    <row r="103" spans="1:6" x14ac:dyDescent="0.3">
      <c r="A103" s="1" t="s">
        <v>1372</v>
      </c>
      <c r="B103" s="13">
        <v>44958</v>
      </c>
      <c r="C103" s="1" t="s">
        <v>1165</v>
      </c>
      <c r="D103" s="1" t="s">
        <v>41</v>
      </c>
      <c r="E103" s="1">
        <v>92</v>
      </c>
      <c r="F103" s="1" t="s">
        <v>144</v>
      </c>
    </row>
    <row r="104" spans="1:6" x14ac:dyDescent="0.3">
      <c r="A104" s="1" t="s">
        <v>1373</v>
      </c>
      <c r="B104" s="13">
        <v>44959</v>
      </c>
      <c r="C104" s="1" t="s">
        <v>1190</v>
      </c>
      <c r="D104" s="1" t="s">
        <v>43</v>
      </c>
      <c r="E104" s="1">
        <v>85</v>
      </c>
      <c r="F104" s="1" t="s">
        <v>145</v>
      </c>
    </row>
    <row r="105" spans="1:6" x14ac:dyDescent="0.3">
      <c r="A105" s="1" t="s">
        <v>1374</v>
      </c>
      <c r="B105" s="13">
        <v>44960</v>
      </c>
      <c r="C105" s="1" t="s">
        <v>1202</v>
      </c>
      <c r="D105" s="1" t="s">
        <v>41</v>
      </c>
      <c r="E105" s="1">
        <v>92</v>
      </c>
      <c r="F105" s="1" t="s">
        <v>146</v>
      </c>
    </row>
    <row r="106" spans="1:6" x14ac:dyDescent="0.3">
      <c r="A106" s="1" t="s">
        <v>1375</v>
      </c>
      <c r="B106" s="13">
        <v>44960</v>
      </c>
      <c r="C106" s="1" t="s">
        <v>1244</v>
      </c>
      <c r="D106" s="1" t="s">
        <v>43</v>
      </c>
      <c r="E106" s="1">
        <v>24</v>
      </c>
      <c r="F106" s="1" t="s">
        <v>147</v>
      </c>
    </row>
    <row r="107" spans="1:6" x14ac:dyDescent="0.3">
      <c r="A107" s="1" t="s">
        <v>1376</v>
      </c>
      <c r="B107" s="13">
        <v>44960</v>
      </c>
      <c r="C107" s="1" t="s">
        <v>1228</v>
      </c>
      <c r="D107" s="1" t="s">
        <v>41</v>
      </c>
      <c r="E107" s="1">
        <v>21</v>
      </c>
      <c r="F107" s="1" t="s">
        <v>148</v>
      </c>
    </row>
    <row r="108" spans="1:6" x14ac:dyDescent="0.3">
      <c r="A108" s="1" t="s">
        <v>1377</v>
      </c>
      <c r="B108" s="13">
        <v>44961</v>
      </c>
      <c r="C108" s="1" t="s">
        <v>1225</v>
      </c>
      <c r="D108" s="1" t="s">
        <v>43</v>
      </c>
      <c r="E108" s="1">
        <v>64</v>
      </c>
      <c r="F108" s="1" t="s">
        <v>149</v>
      </c>
    </row>
    <row r="109" spans="1:6" x14ac:dyDescent="0.3">
      <c r="A109" s="1" t="s">
        <v>1378</v>
      </c>
      <c r="B109" s="13">
        <v>44961</v>
      </c>
      <c r="C109" s="1" t="s">
        <v>1212</v>
      </c>
      <c r="D109" s="1" t="s">
        <v>41</v>
      </c>
      <c r="E109" s="1">
        <v>35</v>
      </c>
      <c r="F109" s="1" t="s">
        <v>150</v>
      </c>
    </row>
    <row r="110" spans="1:6" x14ac:dyDescent="0.3">
      <c r="A110" s="1" t="s">
        <v>1379</v>
      </c>
      <c r="B110" s="13">
        <v>44962</v>
      </c>
      <c r="C110" s="1" t="s">
        <v>1085</v>
      </c>
      <c r="D110" s="1" t="s">
        <v>41</v>
      </c>
      <c r="E110" s="1">
        <v>100</v>
      </c>
      <c r="F110" s="1" t="s">
        <v>151</v>
      </c>
    </row>
    <row r="111" spans="1:6" x14ac:dyDescent="0.3">
      <c r="A111" s="1" t="s">
        <v>1380</v>
      </c>
      <c r="B111" s="13">
        <v>44962</v>
      </c>
      <c r="C111" s="1" t="s">
        <v>1223</v>
      </c>
      <c r="D111" s="1" t="s">
        <v>41</v>
      </c>
      <c r="E111" s="1">
        <v>91</v>
      </c>
      <c r="F111" s="1" t="s">
        <v>152</v>
      </c>
    </row>
    <row r="112" spans="1:6" x14ac:dyDescent="0.3">
      <c r="A112" s="1" t="s">
        <v>1381</v>
      </c>
      <c r="B112" s="13">
        <v>44962</v>
      </c>
      <c r="C112" s="1" t="s">
        <v>1189</v>
      </c>
      <c r="D112" s="1" t="s">
        <v>43</v>
      </c>
      <c r="E112" s="1">
        <v>18</v>
      </c>
      <c r="F112" s="1" t="s">
        <v>153</v>
      </c>
    </row>
    <row r="113" spans="1:6" x14ac:dyDescent="0.3">
      <c r="A113" s="1" t="s">
        <v>1382</v>
      </c>
      <c r="B113" s="13">
        <v>44963</v>
      </c>
      <c r="C113" s="1" t="s">
        <v>1238</v>
      </c>
      <c r="D113" s="1" t="s">
        <v>43</v>
      </c>
      <c r="E113" s="1">
        <v>80</v>
      </c>
      <c r="F113" s="1" t="s">
        <v>154</v>
      </c>
    </row>
    <row r="114" spans="1:6" x14ac:dyDescent="0.3">
      <c r="A114" s="1" t="s">
        <v>1383</v>
      </c>
      <c r="B114" s="13">
        <v>44963</v>
      </c>
      <c r="C114" s="1" t="s">
        <v>1195</v>
      </c>
      <c r="D114" s="1" t="s">
        <v>43</v>
      </c>
      <c r="E114" s="1">
        <v>11</v>
      </c>
      <c r="F114" s="1" t="s">
        <v>155</v>
      </c>
    </row>
    <row r="115" spans="1:6" x14ac:dyDescent="0.3">
      <c r="A115" s="1" t="s">
        <v>1384</v>
      </c>
      <c r="B115" s="13">
        <v>44963</v>
      </c>
      <c r="C115" s="1" t="s">
        <v>1177</v>
      </c>
      <c r="D115" s="1" t="s">
        <v>41</v>
      </c>
      <c r="E115" s="1">
        <v>99</v>
      </c>
      <c r="F115" s="1" t="s">
        <v>156</v>
      </c>
    </row>
    <row r="116" spans="1:6" x14ac:dyDescent="0.3">
      <c r="A116" s="1" t="s">
        <v>1385</v>
      </c>
      <c r="B116" s="13">
        <v>44964</v>
      </c>
      <c r="C116" s="1" t="s">
        <v>1129</v>
      </c>
      <c r="D116" s="1" t="s">
        <v>41</v>
      </c>
      <c r="E116" s="1">
        <v>40</v>
      </c>
      <c r="F116" s="1" t="s">
        <v>157</v>
      </c>
    </row>
    <row r="117" spans="1:6" x14ac:dyDescent="0.3">
      <c r="A117" s="1" t="s">
        <v>1386</v>
      </c>
      <c r="B117" s="13">
        <v>44964</v>
      </c>
      <c r="C117" s="1" t="s">
        <v>1249</v>
      </c>
      <c r="D117" s="1" t="s">
        <v>43</v>
      </c>
      <c r="E117" s="1">
        <v>69</v>
      </c>
      <c r="F117" s="1" t="s">
        <v>158</v>
      </c>
    </row>
    <row r="118" spans="1:6" x14ac:dyDescent="0.3">
      <c r="A118" s="1" t="s">
        <v>1387</v>
      </c>
      <c r="B118" s="13">
        <v>44964</v>
      </c>
      <c r="C118" s="1" t="s">
        <v>1179</v>
      </c>
      <c r="D118" s="1" t="s">
        <v>43</v>
      </c>
      <c r="E118" s="1">
        <v>60</v>
      </c>
      <c r="F118" s="1" t="s">
        <v>159</v>
      </c>
    </row>
    <row r="119" spans="1:6" x14ac:dyDescent="0.3">
      <c r="A119" s="1" t="s">
        <v>1388</v>
      </c>
      <c r="B119" s="13">
        <v>44964</v>
      </c>
      <c r="C119" s="1" t="s">
        <v>1108</v>
      </c>
      <c r="D119" s="1" t="s">
        <v>41</v>
      </c>
      <c r="E119" s="1">
        <v>79</v>
      </c>
      <c r="F119" s="1" t="s">
        <v>160</v>
      </c>
    </row>
    <row r="120" spans="1:6" x14ac:dyDescent="0.3">
      <c r="A120" s="1" t="s">
        <v>1389</v>
      </c>
      <c r="B120" s="13">
        <v>44964</v>
      </c>
      <c r="C120" s="1" t="s">
        <v>1095</v>
      </c>
      <c r="D120" s="1" t="s">
        <v>41</v>
      </c>
      <c r="E120" s="1">
        <v>68</v>
      </c>
      <c r="F120" s="1" t="s">
        <v>161</v>
      </c>
    </row>
    <row r="121" spans="1:6" x14ac:dyDescent="0.3">
      <c r="A121" s="1" t="s">
        <v>1390</v>
      </c>
      <c r="B121" s="13">
        <v>44965</v>
      </c>
      <c r="C121" s="1" t="s">
        <v>1267</v>
      </c>
      <c r="D121" s="1" t="s">
        <v>43</v>
      </c>
      <c r="E121" s="1">
        <v>44</v>
      </c>
      <c r="F121" s="1" t="s">
        <v>162</v>
      </c>
    </row>
    <row r="122" spans="1:6" x14ac:dyDescent="0.3">
      <c r="A122" s="1" t="s">
        <v>1391</v>
      </c>
      <c r="B122" s="13">
        <v>44965</v>
      </c>
      <c r="C122" s="1" t="s">
        <v>1242</v>
      </c>
      <c r="D122" s="1" t="s">
        <v>43</v>
      </c>
      <c r="E122" s="1">
        <v>40</v>
      </c>
      <c r="F122" s="1" t="s">
        <v>163</v>
      </c>
    </row>
    <row r="123" spans="1:6" x14ac:dyDescent="0.3">
      <c r="A123" s="1" t="s">
        <v>1392</v>
      </c>
      <c r="B123" s="13">
        <v>44965</v>
      </c>
      <c r="C123" s="1" t="s">
        <v>1129</v>
      </c>
      <c r="D123" s="1" t="s">
        <v>43</v>
      </c>
      <c r="E123" s="1">
        <v>46</v>
      </c>
      <c r="F123" s="1" t="s">
        <v>164</v>
      </c>
    </row>
    <row r="124" spans="1:6" x14ac:dyDescent="0.3">
      <c r="A124" s="1" t="s">
        <v>1393</v>
      </c>
      <c r="B124" s="13">
        <v>44965</v>
      </c>
      <c r="C124" s="1" t="s">
        <v>1254</v>
      </c>
      <c r="D124" s="1" t="s">
        <v>41</v>
      </c>
      <c r="E124" s="1">
        <v>24</v>
      </c>
      <c r="F124" s="1" t="s">
        <v>165</v>
      </c>
    </row>
    <row r="125" spans="1:6" x14ac:dyDescent="0.3">
      <c r="A125" s="1" t="s">
        <v>1394</v>
      </c>
      <c r="B125" s="13">
        <v>44965</v>
      </c>
      <c r="C125" s="1" t="s">
        <v>1221</v>
      </c>
      <c r="D125" s="1" t="s">
        <v>41</v>
      </c>
      <c r="E125" s="1">
        <v>29</v>
      </c>
      <c r="F125" s="1" t="s">
        <v>166</v>
      </c>
    </row>
    <row r="126" spans="1:6" x14ac:dyDescent="0.3">
      <c r="A126" s="1" t="s">
        <v>1395</v>
      </c>
      <c r="B126" s="13">
        <v>44965</v>
      </c>
      <c r="C126" s="1" t="s">
        <v>1249</v>
      </c>
      <c r="D126" s="1" t="s">
        <v>43</v>
      </c>
      <c r="E126" s="1">
        <v>97</v>
      </c>
      <c r="F126" s="1" t="s">
        <v>167</v>
      </c>
    </row>
    <row r="127" spans="1:6" x14ac:dyDescent="0.3">
      <c r="A127" s="1" t="s">
        <v>1396</v>
      </c>
      <c r="B127" s="13">
        <v>44966</v>
      </c>
      <c r="C127" s="1" t="s">
        <v>1232</v>
      </c>
      <c r="D127" s="1" t="s">
        <v>41</v>
      </c>
      <c r="E127" s="1">
        <v>77</v>
      </c>
      <c r="F127" s="1" t="s">
        <v>168</v>
      </c>
    </row>
    <row r="128" spans="1:6" x14ac:dyDescent="0.3">
      <c r="A128" s="1" t="s">
        <v>1397</v>
      </c>
      <c r="B128" s="13">
        <v>44966</v>
      </c>
      <c r="C128" s="1" t="s">
        <v>1157</v>
      </c>
      <c r="D128" s="1" t="s">
        <v>41</v>
      </c>
      <c r="E128" s="1">
        <v>33</v>
      </c>
      <c r="F128" s="1" t="s">
        <v>169</v>
      </c>
    </row>
    <row r="129" spans="1:6" x14ac:dyDescent="0.3">
      <c r="A129" s="1" t="s">
        <v>1398</v>
      </c>
      <c r="B129" s="13">
        <v>44966</v>
      </c>
      <c r="C129" s="1" t="s">
        <v>1156</v>
      </c>
      <c r="D129" s="1" t="s">
        <v>43</v>
      </c>
      <c r="E129" s="1">
        <v>77</v>
      </c>
      <c r="F129" s="1" t="s">
        <v>170</v>
      </c>
    </row>
    <row r="130" spans="1:6" x14ac:dyDescent="0.3">
      <c r="A130" s="1" t="s">
        <v>1399</v>
      </c>
      <c r="B130" s="13">
        <v>44966</v>
      </c>
      <c r="C130" s="1" t="s">
        <v>1201</v>
      </c>
      <c r="D130" s="1" t="s">
        <v>41</v>
      </c>
      <c r="E130" s="1">
        <v>28</v>
      </c>
      <c r="F130" s="1" t="s">
        <v>171</v>
      </c>
    </row>
    <row r="131" spans="1:6" x14ac:dyDescent="0.3">
      <c r="A131" s="1" t="s">
        <v>1400</v>
      </c>
      <c r="B131" s="13">
        <v>44966</v>
      </c>
      <c r="C131" s="1" t="s">
        <v>1163</v>
      </c>
      <c r="D131" s="1" t="s">
        <v>41</v>
      </c>
      <c r="E131" s="1">
        <v>85</v>
      </c>
      <c r="F131" s="1" t="s">
        <v>172</v>
      </c>
    </row>
    <row r="132" spans="1:6" x14ac:dyDescent="0.3">
      <c r="A132" s="1" t="s">
        <v>1401</v>
      </c>
      <c r="B132" s="13">
        <v>44966</v>
      </c>
      <c r="C132" s="1" t="s">
        <v>1240</v>
      </c>
      <c r="D132" s="1" t="s">
        <v>41</v>
      </c>
      <c r="E132" s="1">
        <v>73</v>
      </c>
      <c r="F132" s="1" t="s">
        <v>173</v>
      </c>
    </row>
    <row r="133" spans="1:6" x14ac:dyDescent="0.3">
      <c r="A133" s="1" t="s">
        <v>1402</v>
      </c>
      <c r="B133" s="13">
        <v>44967</v>
      </c>
      <c r="C133" s="1" t="s">
        <v>1251</v>
      </c>
      <c r="D133" s="1" t="s">
        <v>41</v>
      </c>
      <c r="E133" s="1">
        <v>88</v>
      </c>
      <c r="F133" s="1" t="s">
        <v>174</v>
      </c>
    </row>
    <row r="134" spans="1:6" x14ac:dyDescent="0.3">
      <c r="A134" s="1" t="s">
        <v>1403</v>
      </c>
      <c r="B134" s="13">
        <v>44967</v>
      </c>
      <c r="C134" s="1" t="s">
        <v>1183</v>
      </c>
      <c r="D134" s="1" t="s">
        <v>43</v>
      </c>
      <c r="E134" s="1">
        <v>64</v>
      </c>
      <c r="F134" s="1" t="s">
        <v>175</v>
      </c>
    </row>
    <row r="135" spans="1:6" x14ac:dyDescent="0.3">
      <c r="A135" s="1" t="s">
        <v>1404</v>
      </c>
      <c r="B135" s="13">
        <v>44967</v>
      </c>
      <c r="C135" s="1" t="s">
        <v>1123</v>
      </c>
      <c r="D135" s="1" t="s">
        <v>43</v>
      </c>
      <c r="E135" s="1">
        <v>68</v>
      </c>
      <c r="F135" s="1" t="s">
        <v>176</v>
      </c>
    </row>
    <row r="136" spans="1:6" x14ac:dyDescent="0.3">
      <c r="A136" s="1" t="s">
        <v>1405</v>
      </c>
      <c r="B136" s="13">
        <v>44968</v>
      </c>
      <c r="C136" s="1" t="s">
        <v>1097</v>
      </c>
      <c r="D136" s="1" t="s">
        <v>43</v>
      </c>
      <c r="E136" s="1">
        <v>85</v>
      </c>
      <c r="F136" s="1" t="s">
        <v>177</v>
      </c>
    </row>
    <row r="137" spans="1:6" x14ac:dyDescent="0.3">
      <c r="A137" s="1" t="s">
        <v>1406</v>
      </c>
      <c r="B137" s="13">
        <v>44968</v>
      </c>
      <c r="C137" s="1" t="s">
        <v>1230</v>
      </c>
      <c r="D137" s="1" t="s">
        <v>43</v>
      </c>
      <c r="E137" s="1">
        <v>46</v>
      </c>
      <c r="F137" s="1" t="s">
        <v>178</v>
      </c>
    </row>
    <row r="138" spans="1:6" x14ac:dyDescent="0.3">
      <c r="A138" s="1" t="s">
        <v>1407</v>
      </c>
      <c r="B138" s="13">
        <v>44968</v>
      </c>
      <c r="C138" s="1" t="s">
        <v>1113</v>
      </c>
      <c r="D138" s="1" t="s">
        <v>41</v>
      </c>
      <c r="E138" s="1">
        <v>72</v>
      </c>
      <c r="F138" s="1" t="s">
        <v>179</v>
      </c>
    </row>
    <row r="139" spans="1:6" x14ac:dyDescent="0.3">
      <c r="A139" s="1" t="s">
        <v>1408</v>
      </c>
      <c r="B139" s="13">
        <v>44968</v>
      </c>
      <c r="C139" s="1" t="s">
        <v>1236</v>
      </c>
      <c r="D139" s="1" t="s">
        <v>41</v>
      </c>
      <c r="E139" s="1">
        <v>67</v>
      </c>
      <c r="F139" s="1" t="s">
        <v>180</v>
      </c>
    </row>
    <row r="140" spans="1:6" x14ac:dyDescent="0.3">
      <c r="A140" s="1" t="s">
        <v>1409</v>
      </c>
      <c r="B140" s="13">
        <v>44968</v>
      </c>
      <c r="C140" s="1" t="s">
        <v>1109</v>
      </c>
      <c r="D140" s="1" t="s">
        <v>43</v>
      </c>
      <c r="E140" s="1">
        <v>41</v>
      </c>
      <c r="F140" s="1" t="s">
        <v>181</v>
      </c>
    </row>
    <row r="141" spans="1:6" x14ac:dyDescent="0.3">
      <c r="A141" s="1" t="s">
        <v>1410</v>
      </c>
      <c r="B141" s="13">
        <v>44970</v>
      </c>
      <c r="C141" s="1" t="s">
        <v>1232</v>
      </c>
      <c r="D141" s="1" t="s">
        <v>43</v>
      </c>
      <c r="E141" s="1">
        <v>66</v>
      </c>
      <c r="F141" s="1" t="s">
        <v>182</v>
      </c>
    </row>
    <row r="142" spans="1:6" x14ac:dyDescent="0.3">
      <c r="A142" s="1" t="s">
        <v>1411</v>
      </c>
      <c r="B142" s="13">
        <v>44971</v>
      </c>
      <c r="C142" s="1" t="s">
        <v>1240</v>
      </c>
      <c r="D142" s="1" t="s">
        <v>43</v>
      </c>
      <c r="E142" s="1">
        <v>78</v>
      </c>
      <c r="F142" s="1" t="s">
        <v>183</v>
      </c>
    </row>
    <row r="143" spans="1:6" x14ac:dyDescent="0.3">
      <c r="A143" s="1" t="s">
        <v>1412</v>
      </c>
      <c r="B143" s="13">
        <v>44971</v>
      </c>
      <c r="C143" s="1" t="s">
        <v>1231</v>
      </c>
      <c r="D143" s="1" t="s">
        <v>43</v>
      </c>
      <c r="E143" s="1">
        <v>86</v>
      </c>
      <c r="F143" s="1" t="s">
        <v>184</v>
      </c>
    </row>
    <row r="144" spans="1:6" x14ac:dyDescent="0.3">
      <c r="A144" s="1" t="s">
        <v>1413</v>
      </c>
      <c r="B144" s="13">
        <v>44972</v>
      </c>
      <c r="C144" s="1" t="s">
        <v>1190</v>
      </c>
      <c r="D144" s="1" t="s">
        <v>43</v>
      </c>
      <c r="E144" s="1">
        <v>90</v>
      </c>
      <c r="F144" s="1" t="s">
        <v>185</v>
      </c>
    </row>
    <row r="145" spans="1:6" x14ac:dyDescent="0.3">
      <c r="A145" s="1" t="s">
        <v>1414</v>
      </c>
      <c r="B145" s="13">
        <v>44972</v>
      </c>
      <c r="C145" s="1" t="s">
        <v>1226</v>
      </c>
      <c r="D145" s="1" t="s">
        <v>41</v>
      </c>
      <c r="E145" s="1">
        <v>41</v>
      </c>
      <c r="F145" s="1" t="s">
        <v>186</v>
      </c>
    </row>
    <row r="146" spans="1:6" x14ac:dyDescent="0.3">
      <c r="A146" s="1" t="s">
        <v>1415</v>
      </c>
      <c r="B146" s="13">
        <v>44972</v>
      </c>
      <c r="C146" s="1" t="s">
        <v>1174</v>
      </c>
      <c r="D146" s="1" t="s">
        <v>43</v>
      </c>
      <c r="E146" s="1">
        <v>11</v>
      </c>
      <c r="F146" s="1" t="s">
        <v>187</v>
      </c>
    </row>
    <row r="147" spans="1:6" x14ac:dyDescent="0.3">
      <c r="A147" s="1" t="s">
        <v>1416</v>
      </c>
      <c r="B147" s="13">
        <v>44972</v>
      </c>
      <c r="C147" s="1" t="s">
        <v>1193</v>
      </c>
      <c r="D147" s="1" t="s">
        <v>41</v>
      </c>
      <c r="E147" s="1">
        <v>37</v>
      </c>
      <c r="F147" s="1" t="s">
        <v>188</v>
      </c>
    </row>
    <row r="148" spans="1:6" x14ac:dyDescent="0.3">
      <c r="A148" s="1" t="s">
        <v>1417</v>
      </c>
      <c r="B148" s="13">
        <v>44973</v>
      </c>
      <c r="C148" s="1" t="s">
        <v>1104</v>
      </c>
      <c r="D148" s="1" t="s">
        <v>41</v>
      </c>
      <c r="E148" s="1">
        <v>72</v>
      </c>
      <c r="F148" s="1" t="s">
        <v>189</v>
      </c>
    </row>
    <row r="149" spans="1:6" x14ac:dyDescent="0.3">
      <c r="A149" s="1" t="s">
        <v>1418</v>
      </c>
      <c r="B149" s="13">
        <v>44973</v>
      </c>
      <c r="C149" s="1" t="s">
        <v>1203</v>
      </c>
      <c r="D149" s="1" t="s">
        <v>43</v>
      </c>
      <c r="E149" s="1">
        <v>75</v>
      </c>
      <c r="F149" s="1" t="s">
        <v>190</v>
      </c>
    </row>
    <row r="150" spans="1:6" x14ac:dyDescent="0.3">
      <c r="A150" s="1" t="s">
        <v>1419</v>
      </c>
      <c r="B150" s="13">
        <v>44973</v>
      </c>
      <c r="C150" s="1" t="s">
        <v>1095</v>
      </c>
      <c r="D150" s="1" t="s">
        <v>41</v>
      </c>
      <c r="E150" s="1">
        <v>98</v>
      </c>
      <c r="F150" s="1" t="s">
        <v>191</v>
      </c>
    </row>
    <row r="151" spans="1:6" x14ac:dyDescent="0.3">
      <c r="A151" s="1" t="s">
        <v>1420</v>
      </c>
      <c r="B151" s="13">
        <v>44973</v>
      </c>
      <c r="C151" s="1" t="s">
        <v>1202</v>
      </c>
      <c r="D151" s="1" t="s">
        <v>41</v>
      </c>
      <c r="E151" s="1">
        <v>90</v>
      </c>
      <c r="F151" s="1" t="s">
        <v>192</v>
      </c>
    </row>
    <row r="152" spans="1:6" x14ac:dyDescent="0.3">
      <c r="A152" s="1" t="s">
        <v>1421</v>
      </c>
      <c r="B152" s="13">
        <v>44975</v>
      </c>
      <c r="C152" s="1" t="s">
        <v>1233</v>
      </c>
      <c r="D152" s="1" t="s">
        <v>41</v>
      </c>
      <c r="E152" s="1">
        <v>32</v>
      </c>
      <c r="F152" s="1" t="s">
        <v>193</v>
      </c>
    </row>
    <row r="153" spans="1:6" x14ac:dyDescent="0.3">
      <c r="A153" s="1" t="s">
        <v>1422</v>
      </c>
      <c r="B153" s="13">
        <v>44975</v>
      </c>
      <c r="C153" s="1" t="s">
        <v>1141</v>
      </c>
      <c r="D153" s="1" t="s">
        <v>43</v>
      </c>
      <c r="E153" s="1">
        <v>68</v>
      </c>
      <c r="F153" s="1" t="s">
        <v>194</v>
      </c>
    </row>
    <row r="154" spans="1:6" x14ac:dyDescent="0.3">
      <c r="A154" s="1" t="s">
        <v>1423</v>
      </c>
      <c r="B154" s="13">
        <v>44976</v>
      </c>
      <c r="C154" s="1" t="s">
        <v>1091</v>
      </c>
      <c r="D154" s="1" t="s">
        <v>43</v>
      </c>
      <c r="E154" s="1">
        <v>78</v>
      </c>
      <c r="F154" s="1" t="s">
        <v>195</v>
      </c>
    </row>
    <row r="155" spans="1:6" x14ac:dyDescent="0.3">
      <c r="A155" s="1" t="s">
        <v>1424</v>
      </c>
      <c r="B155" s="13">
        <v>44976</v>
      </c>
      <c r="C155" s="1" t="s">
        <v>1153</v>
      </c>
      <c r="D155" s="1" t="s">
        <v>43</v>
      </c>
      <c r="E155" s="1">
        <v>88</v>
      </c>
      <c r="F155" s="1" t="s">
        <v>196</v>
      </c>
    </row>
    <row r="156" spans="1:6" x14ac:dyDescent="0.3">
      <c r="A156" s="1" t="s">
        <v>1425</v>
      </c>
      <c r="B156" s="13">
        <v>44977</v>
      </c>
      <c r="C156" s="1" t="s">
        <v>1148</v>
      </c>
      <c r="D156" s="1" t="s">
        <v>43</v>
      </c>
      <c r="E156" s="1">
        <v>37</v>
      </c>
      <c r="F156" s="1" t="s">
        <v>197</v>
      </c>
    </row>
    <row r="157" spans="1:6" x14ac:dyDescent="0.3">
      <c r="A157" s="1" t="s">
        <v>1426</v>
      </c>
      <c r="B157" s="13">
        <v>44977</v>
      </c>
      <c r="C157" s="1" t="s">
        <v>1260</v>
      </c>
      <c r="D157" s="1" t="s">
        <v>43</v>
      </c>
      <c r="E157" s="1">
        <v>97</v>
      </c>
      <c r="F157" s="1" t="s">
        <v>198</v>
      </c>
    </row>
    <row r="158" spans="1:6" x14ac:dyDescent="0.3">
      <c r="A158" s="1" t="s">
        <v>1427</v>
      </c>
      <c r="B158" s="13">
        <v>44978</v>
      </c>
      <c r="C158" s="1" t="s">
        <v>1109</v>
      </c>
      <c r="D158" s="1" t="s">
        <v>41</v>
      </c>
      <c r="E158" s="1">
        <v>12</v>
      </c>
      <c r="F158" s="1" t="s">
        <v>199</v>
      </c>
    </row>
    <row r="159" spans="1:6" x14ac:dyDescent="0.3">
      <c r="A159" s="1" t="s">
        <v>1428</v>
      </c>
      <c r="B159" s="13">
        <v>44979</v>
      </c>
      <c r="C159" s="1" t="s">
        <v>1236</v>
      </c>
      <c r="D159" s="1" t="s">
        <v>43</v>
      </c>
      <c r="E159" s="1">
        <v>50</v>
      </c>
      <c r="F159" s="1" t="s">
        <v>200</v>
      </c>
    </row>
    <row r="160" spans="1:6" x14ac:dyDescent="0.3">
      <c r="A160" s="1" t="s">
        <v>1429</v>
      </c>
      <c r="B160" s="13">
        <v>44980</v>
      </c>
      <c r="C160" s="1" t="s">
        <v>1129</v>
      </c>
      <c r="D160" s="1" t="s">
        <v>41</v>
      </c>
      <c r="E160" s="1">
        <v>15</v>
      </c>
      <c r="F160" s="1" t="s">
        <v>201</v>
      </c>
    </row>
    <row r="161" spans="1:6" x14ac:dyDescent="0.3">
      <c r="A161" s="1" t="s">
        <v>1430</v>
      </c>
      <c r="B161" s="13">
        <v>44980</v>
      </c>
      <c r="C161" s="1" t="s">
        <v>1225</v>
      </c>
      <c r="D161" s="1" t="s">
        <v>41</v>
      </c>
      <c r="E161" s="1">
        <v>59</v>
      </c>
      <c r="F161" s="1" t="s">
        <v>202</v>
      </c>
    </row>
    <row r="162" spans="1:6" x14ac:dyDescent="0.3">
      <c r="A162" s="1" t="s">
        <v>1431</v>
      </c>
      <c r="B162" s="13">
        <v>44981</v>
      </c>
      <c r="C162" s="1" t="s">
        <v>1099</v>
      </c>
      <c r="D162" s="1" t="s">
        <v>41</v>
      </c>
      <c r="E162" s="1">
        <v>39</v>
      </c>
      <c r="F162" s="1" t="s">
        <v>203</v>
      </c>
    </row>
    <row r="163" spans="1:6" x14ac:dyDescent="0.3">
      <c r="A163" s="1" t="s">
        <v>1432</v>
      </c>
      <c r="B163" s="13">
        <v>44981</v>
      </c>
      <c r="C163" s="1" t="s">
        <v>1226</v>
      </c>
      <c r="D163" s="1" t="s">
        <v>41</v>
      </c>
      <c r="E163" s="1">
        <v>76</v>
      </c>
      <c r="F163" s="1" t="s">
        <v>204</v>
      </c>
    </row>
    <row r="164" spans="1:6" x14ac:dyDescent="0.3">
      <c r="A164" s="1" t="s">
        <v>1433</v>
      </c>
      <c r="B164" s="13">
        <v>44981</v>
      </c>
      <c r="C164" s="1" t="s">
        <v>1113</v>
      </c>
      <c r="D164" s="1" t="s">
        <v>41</v>
      </c>
      <c r="E164" s="1">
        <v>45</v>
      </c>
      <c r="F164" s="1" t="s">
        <v>205</v>
      </c>
    </row>
    <row r="165" spans="1:6" x14ac:dyDescent="0.3">
      <c r="A165" s="1" t="s">
        <v>1434</v>
      </c>
      <c r="B165" s="13">
        <v>44981</v>
      </c>
      <c r="C165" s="1" t="s">
        <v>1122</v>
      </c>
      <c r="D165" s="1" t="s">
        <v>41</v>
      </c>
      <c r="E165" s="1">
        <v>41</v>
      </c>
      <c r="F165" s="1" t="s">
        <v>206</v>
      </c>
    </row>
    <row r="166" spans="1:6" x14ac:dyDescent="0.3">
      <c r="A166" s="1" t="s">
        <v>1435</v>
      </c>
      <c r="B166" s="13">
        <v>44981</v>
      </c>
      <c r="C166" s="1" t="s">
        <v>1097</v>
      </c>
      <c r="D166" s="1" t="s">
        <v>41</v>
      </c>
      <c r="E166" s="1">
        <v>61</v>
      </c>
      <c r="F166" s="1" t="s">
        <v>207</v>
      </c>
    </row>
    <row r="167" spans="1:6" x14ac:dyDescent="0.3">
      <c r="A167" s="1" t="s">
        <v>1436</v>
      </c>
      <c r="B167" s="13">
        <v>44982</v>
      </c>
      <c r="C167" s="1" t="s">
        <v>1210</v>
      </c>
      <c r="D167" s="1" t="s">
        <v>43</v>
      </c>
      <c r="E167" s="1">
        <v>51</v>
      </c>
      <c r="F167" s="1" t="s">
        <v>208</v>
      </c>
    </row>
    <row r="168" spans="1:6" x14ac:dyDescent="0.3">
      <c r="A168" s="1" t="s">
        <v>1437</v>
      </c>
      <c r="B168" s="13">
        <v>44983</v>
      </c>
      <c r="C168" s="1" t="s">
        <v>1234</v>
      </c>
      <c r="D168" s="1" t="s">
        <v>41</v>
      </c>
      <c r="E168" s="1">
        <v>54</v>
      </c>
      <c r="F168" s="1" t="s">
        <v>209</v>
      </c>
    </row>
    <row r="169" spans="1:6" x14ac:dyDescent="0.3">
      <c r="A169" s="1" t="s">
        <v>1438</v>
      </c>
      <c r="B169" s="13">
        <v>44984</v>
      </c>
      <c r="C169" s="1" t="s">
        <v>1165</v>
      </c>
      <c r="D169" s="1" t="s">
        <v>41</v>
      </c>
      <c r="E169" s="1">
        <v>87</v>
      </c>
      <c r="F169" s="1" t="s">
        <v>210</v>
      </c>
    </row>
    <row r="170" spans="1:6" x14ac:dyDescent="0.3">
      <c r="A170" s="1" t="s">
        <v>1439</v>
      </c>
      <c r="B170" s="13">
        <v>44984</v>
      </c>
      <c r="C170" s="1" t="s">
        <v>1252</v>
      </c>
      <c r="D170" s="1" t="s">
        <v>43</v>
      </c>
      <c r="E170" s="1">
        <v>46</v>
      </c>
      <c r="F170" s="1" t="s">
        <v>211</v>
      </c>
    </row>
    <row r="171" spans="1:6" x14ac:dyDescent="0.3">
      <c r="A171" s="1" t="s">
        <v>1440</v>
      </c>
      <c r="B171" s="13">
        <v>44985</v>
      </c>
      <c r="C171" s="1" t="s">
        <v>1157</v>
      </c>
      <c r="D171" s="1" t="s">
        <v>41</v>
      </c>
      <c r="E171" s="1">
        <v>13</v>
      </c>
      <c r="F171" s="1" t="s">
        <v>212</v>
      </c>
    </row>
    <row r="172" spans="1:6" x14ac:dyDescent="0.3">
      <c r="A172" s="1" t="s">
        <v>1441</v>
      </c>
      <c r="B172" s="13">
        <v>44985</v>
      </c>
      <c r="C172" s="1" t="s">
        <v>1134</v>
      </c>
      <c r="D172" s="1" t="s">
        <v>43</v>
      </c>
      <c r="E172" s="1">
        <v>25</v>
      </c>
      <c r="F172" s="1" t="s">
        <v>213</v>
      </c>
    </row>
    <row r="173" spans="1:6" x14ac:dyDescent="0.3">
      <c r="A173" s="1" t="s">
        <v>1442</v>
      </c>
      <c r="B173" s="13">
        <v>44985</v>
      </c>
      <c r="C173" s="1" t="s">
        <v>1108</v>
      </c>
      <c r="D173" s="1" t="s">
        <v>41</v>
      </c>
      <c r="E173" s="1">
        <v>60</v>
      </c>
      <c r="F173" s="1" t="s">
        <v>214</v>
      </c>
    </row>
    <row r="174" spans="1:6" x14ac:dyDescent="0.3">
      <c r="A174" s="1" t="s">
        <v>1443</v>
      </c>
      <c r="B174" s="13">
        <v>44985</v>
      </c>
      <c r="C174" s="1" t="s">
        <v>1117</v>
      </c>
      <c r="D174" s="1" t="s">
        <v>41</v>
      </c>
      <c r="E174" s="1">
        <v>69</v>
      </c>
      <c r="F174" s="1" t="s">
        <v>215</v>
      </c>
    </row>
    <row r="175" spans="1:6" x14ac:dyDescent="0.3">
      <c r="A175" s="1" t="s">
        <v>1444</v>
      </c>
      <c r="B175" s="13">
        <v>44985</v>
      </c>
      <c r="C175" s="1" t="s">
        <v>1256</v>
      </c>
      <c r="D175" s="1" t="s">
        <v>43</v>
      </c>
      <c r="E175" s="1">
        <v>36</v>
      </c>
      <c r="F175" s="1" t="s">
        <v>216</v>
      </c>
    </row>
    <row r="176" spans="1:6" x14ac:dyDescent="0.3">
      <c r="A176" s="1" t="s">
        <v>1445</v>
      </c>
      <c r="B176" s="13">
        <v>44985</v>
      </c>
      <c r="C176" s="1" t="s">
        <v>1176</v>
      </c>
      <c r="D176" s="1" t="s">
        <v>41</v>
      </c>
      <c r="E176" s="1">
        <v>36</v>
      </c>
      <c r="F176" s="1" t="s">
        <v>217</v>
      </c>
    </row>
    <row r="177" spans="1:6" x14ac:dyDescent="0.3">
      <c r="A177" s="1" t="s">
        <v>1446</v>
      </c>
      <c r="B177" s="13">
        <v>44986</v>
      </c>
      <c r="C177" s="1" t="s">
        <v>1229</v>
      </c>
      <c r="D177" s="1" t="s">
        <v>43</v>
      </c>
      <c r="E177" s="1">
        <v>79</v>
      </c>
      <c r="F177" s="1" t="s">
        <v>218</v>
      </c>
    </row>
    <row r="178" spans="1:6" x14ac:dyDescent="0.3">
      <c r="A178" s="1" t="s">
        <v>1447</v>
      </c>
      <c r="B178" s="13">
        <v>44986</v>
      </c>
      <c r="C178" s="1" t="s">
        <v>1262</v>
      </c>
      <c r="D178" s="1" t="s">
        <v>41</v>
      </c>
      <c r="E178" s="1">
        <v>63</v>
      </c>
      <c r="F178" s="1" t="s">
        <v>219</v>
      </c>
    </row>
    <row r="179" spans="1:6" x14ac:dyDescent="0.3">
      <c r="A179" s="1" t="s">
        <v>1448</v>
      </c>
      <c r="B179" s="13">
        <v>44986</v>
      </c>
      <c r="C179" s="1" t="s">
        <v>1102</v>
      </c>
      <c r="D179" s="1" t="s">
        <v>41</v>
      </c>
      <c r="E179" s="1">
        <f>26+287</f>
        <v>313</v>
      </c>
      <c r="F179" s="1" t="s">
        <v>220</v>
      </c>
    </row>
    <row r="180" spans="1:6" x14ac:dyDescent="0.3">
      <c r="A180" s="1" t="s">
        <v>1449</v>
      </c>
      <c r="B180" s="13">
        <v>44987</v>
      </c>
      <c r="C180" s="1" t="s">
        <v>1097</v>
      </c>
      <c r="D180" s="1" t="s">
        <v>41</v>
      </c>
      <c r="E180" s="1">
        <v>72</v>
      </c>
      <c r="F180" s="1" t="s">
        <v>221</v>
      </c>
    </row>
    <row r="181" spans="1:6" x14ac:dyDescent="0.3">
      <c r="A181" s="1" t="s">
        <v>1450</v>
      </c>
      <c r="B181" s="13">
        <v>44987</v>
      </c>
      <c r="C181" s="1" t="s">
        <v>1099</v>
      </c>
      <c r="D181" s="1" t="s">
        <v>43</v>
      </c>
      <c r="E181" s="1">
        <v>38</v>
      </c>
      <c r="F181" s="1" t="s">
        <v>222</v>
      </c>
    </row>
    <row r="182" spans="1:6" x14ac:dyDescent="0.3">
      <c r="A182" s="1" t="s">
        <v>1451</v>
      </c>
      <c r="B182" s="13">
        <v>44987</v>
      </c>
      <c r="C182" s="1" t="s">
        <v>1177</v>
      </c>
      <c r="D182" s="1" t="s">
        <v>43</v>
      </c>
      <c r="E182" s="1">
        <v>82</v>
      </c>
      <c r="F182" s="1" t="s">
        <v>223</v>
      </c>
    </row>
    <row r="183" spans="1:6" x14ac:dyDescent="0.3">
      <c r="A183" s="1" t="s">
        <v>1452</v>
      </c>
      <c r="B183" s="13">
        <v>44988</v>
      </c>
      <c r="C183" s="1" t="s">
        <v>1142</v>
      </c>
      <c r="D183" s="1" t="s">
        <v>41</v>
      </c>
      <c r="E183" s="1">
        <v>19</v>
      </c>
      <c r="F183" s="1" t="s">
        <v>224</v>
      </c>
    </row>
    <row r="184" spans="1:6" x14ac:dyDescent="0.3">
      <c r="A184" s="1" t="s">
        <v>1453</v>
      </c>
      <c r="B184" s="13">
        <v>44988</v>
      </c>
      <c r="C184" s="1" t="s">
        <v>1083</v>
      </c>
      <c r="D184" s="1" t="s">
        <v>41</v>
      </c>
      <c r="E184" s="1">
        <v>58</v>
      </c>
      <c r="F184" s="1" t="s">
        <v>225</v>
      </c>
    </row>
    <row r="185" spans="1:6" x14ac:dyDescent="0.3">
      <c r="A185" s="1" t="s">
        <v>1454</v>
      </c>
      <c r="B185" s="13">
        <v>44988</v>
      </c>
      <c r="C185" s="1" t="s">
        <v>1248</v>
      </c>
      <c r="D185" s="1" t="s">
        <v>43</v>
      </c>
      <c r="E185" s="1">
        <v>98</v>
      </c>
      <c r="F185" s="1" t="s">
        <v>226</v>
      </c>
    </row>
    <row r="186" spans="1:6" x14ac:dyDescent="0.3">
      <c r="A186" s="1" t="s">
        <v>1455</v>
      </c>
      <c r="B186" s="13">
        <v>44988</v>
      </c>
      <c r="C186" s="1" t="s">
        <v>1252</v>
      </c>
      <c r="D186" s="1" t="s">
        <v>43</v>
      </c>
      <c r="E186" s="1">
        <v>44</v>
      </c>
      <c r="F186" s="1" t="s">
        <v>227</v>
      </c>
    </row>
    <row r="187" spans="1:6" x14ac:dyDescent="0.3">
      <c r="A187" s="1" t="s">
        <v>1456</v>
      </c>
      <c r="B187" s="13">
        <v>44989</v>
      </c>
      <c r="C187" s="1" t="s">
        <v>1087</v>
      </c>
      <c r="D187" s="1" t="s">
        <v>41</v>
      </c>
      <c r="E187" s="1">
        <v>100</v>
      </c>
      <c r="F187" s="1" t="s">
        <v>228</v>
      </c>
    </row>
    <row r="188" spans="1:6" x14ac:dyDescent="0.3">
      <c r="A188" s="1" t="s">
        <v>1457</v>
      </c>
      <c r="B188" s="13">
        <v>44989</v>
      </c>
      <c r="C188" s="1" t="s">
        <v>1264</v>
      </c>
      <c r="D188" s="1" t="s">
        <v>41</v>
      </c>
      <c r="E188" s="1">
        <v>62</v>
      </c>
      <c r="F188" s="1" t="s">
        <v>229</v>
      </c>
    </row>
    <row r="189" spans="1:6" x14ac:dyDescent="0.3">
      <c r="A189" s="1" t="s">
        <v>1458</v>
      </c>
      <c r="B189" s="13">
        <v>44989</v>
      </c>
      <c r="C189" s="1" t="s">
        <v>1165</v>
      </c>
      <c r="D189" s="1" t="s">
        <v>43</v>
      </c>
      <c r="E189" s="1">
        <v>84</v>
      </c>
      <c r="F189" s="1" t="s">
        <v>230</v>
      </c>
    </row>
    <row r="190" spans="1:6" x14ac:dyDescent="0.3">
      <c r="A190" s="1" t="s">
        <v>1459</v>
      </c>
      <c r="B190" s="13">
        <v>44989</v>
      </c>
      <c r="C190" s="1" t="s">
        <v>1085</v>
      </c>
      <c r="D190" s="1" t="s">
        <v>41</v>
      </c>
      <c r="E190" s="1">
        <v>68</v>
      </c>
      <c r="F190" s="1" t="s">
        <v>231</v>
      </c>
    </row>
    <row r="191" spans="1:6" x14ac:dyDescent="0.3">
      <c r="A191" s="1" t="s">
        <v>1460</v>
      </c>
      <c r="B191" s="13">
        <v>44989</v>
      </c>
      <c r="C191" s="1" t="s">
        <v>1195</v>
      </c>
      <c r="D191" s="1" t="s">
        <v>43</v>
      </c>
      <c r="E191" s="1">
        <v>55</v>
      </c>
      <c r="F191" s="1" t="s">
        <v>232</v>
      </c>
    </row>
    <row r="192" spans="1:6" x14ac:dyDescent="0.3">
      <c r="A192" s="1" t="s">
        <v>1461</v>
      </c>
      <c r="B192" s="13">
        <v>44990</v>
      </c>
      <c r="C192" s="1" t="s">
        <v>1268</v>
      </c>
      <c r="D192" s="1" t="s">
        <v>43</v>
      </c>
      <c r="E192" s="1">
        <v>87</v>
      </c>
      <c r="F192" s="1" t="s">
        <v>233</v>
      </c>
    </row>
    <row r="193" spans="1:6" x14ac:dyDescent="0.3">
      <c r="A193" s="1" t="s">
        <v>1462</v>
      </c>
      <c r="B193" s="13">
        <v>44990</v>
      </c>
      <c r="C193" s="1" t="s">
        <v>1165</v>
      </c>
      <c r="D193" s="1" t="s">
        <v>43</v>
      </c>
      <c r="E193" s="1">
        <v>12</v>
      </c>
      <c r="F193" s="1" t="s">
        <v>234</v>
      </c>
    </row>
    <row r="194" spans="1:6" x14ac:dyDescent="0.3">
      <c r="A194" s="1" t="s">
        <v>1463</v>
      </c>
      <c r="B194" s="13">
        <v>44991</v>
      </c>
      <c r="C194" s="1" t="s">
        <v>1180</v>
      </c>
      <c r="D194" s="1" t="s">
        <v>43</v>
      </c>
      <c r="E194" s="1">
        <v>95</v>
      </c>
      <c r="F194" s="1" t="s">
        <v>235</v>
      </c>
    </row>
    <row r="195" spans="1:6" x14ac:dyDescent="0.3">
      <c r="A195" s="1" t="s">
        <v>1464</v>
      </c>
      <c r="B195" s="13">
        <v>44993</v>
      </c>
      <c r="C195" s="1" t="s">
        <v>1195</v>
      </c>
      <c r="D195" s="1" t="s">
        <v>43</v>
      </c>
      <c r="E195" s="1">
        <v>84</v>
      </c>
      <c r="F195" s="1" t="s">
        <v>236</v>
      </c>
    </row>
    <row r="196" spans="1:6" x14ac:dyDescent="0.3">
      <c r="A196" s="1" t="s">
        <v>1465</v>
      </c>
      <c r="B196" s="13">
        <v>44993</v>
      </c>
      <c r="C196" s="1" t="s">
        <v>1130</v>
      </c>
      <c r="D196" s="1" t="s">
        <v>41</v>
      </c>
      <c r="E196" s="1">
        <v>68</v>
      </c>
      <c r="F196" s="1" t="s">
        <v>237</v>
      </c>
    </row>
    <row r="197" spans="1:6" x14ac:dyDescent="0.3">
      <c r="A197" s="1" t="s">
        <v>1466</v>
      </c>
      <c r="B197" s="13">
        <v>44994</v>
      </c>
      <c r="C197" s="1" t="s">
        <v>1216</v>
      </c>
      <c r="D197" s="1" t="s">
        <v>41</v>
      </c>
      <c r="E197" s="1">
        <v>11</v>
      </c>
      <c r="F197" s="1" t="s">
        <v>238</v>
      </c>
    </row>
    <row r="198" spans="1:6" x14ac:dyDescent="0.3">
      <c r="A198" s="1" t="s">
        <v>1467</v>
      </c>
      <c r="B198" s="13">
        <v>44995</v>
      </c>
      <c r="C198" s="1" t="s">
        <v>1191</v>
      </c>
      <c r="D198" s="1" t="s">
        <v>43</v>
      </c>
      <c r="E198" s="1">
        <v>44</v>
      </c>
      <c r="F198" s="1" t="s">
        <v>239</v>
      </c>
    </row>
    <row r="199" spans="1:6" x14ac:dyDescent="0.3">
      <c r="A199" s="1" t="s">
        <v>1468</v>
      </c>
      <c r="B199" s="13">
        <v>44995</v>
      </c>
      <c r="C199" s="1" t="s">
        <v>1176</v>
      </c>
      <c r="D199" s="1" t="s">
        <v>41</v>
      </c>
      <c r="E199" s="1">
        <v>36</v>
      </c>
      <c r="F199" s="1" t="s">
        <v>240</v>
      </c>
    </row>
    <row r="200" spans="1:6" x14ac:dyDescent="0.3">
      <c r="A200" s="1" t="s">
        <v>1469</v>
      </c>
      <c r="B200" s="13">
        <v>44995</v>
      </c>
      <c r="C200" s="1" t="s">
        <v>1226</v>
      </c>
      <c r="D200" s="1" t="s">
        <v>41</v>
      </c>
      <c r="E200" s="1">
        <v>94</v>
      </c>
      <c r="F200" s="1" t="s">
        <v>241</v>
      </c>
    </row>
    <row r="201" spans="1:6" x14ac:dyDescent="0.3">
      <c r="A201" s="1" t="s">
        <v>1470</v>
      </c>
      <c r="B201" s="13">
        <v>44996</v>
      </c>
      <c r="C201" s="1" t="s">
        <v>1165</v>
      </c>
      <c r="D201" s="1" t="s">
        <v>43</v>
      </c>
      <c r="E201" s="1">
        <v>68</v>
      </c>
      <c r="F201" s="1" t="s">
        <v>242</v>
      </c>
    </row>
    <row r="202" spans="1:6" x14ac:dyDescent="0.3">
      <c r="A202" s="1" t="s">
        <v>1471</v>
      </c>
      <c r="B202" s="13">
        <v>44998</v>
      </c>
      <c r="C202" s="1" t="s">
        <v>1265</v>
      </c>
      <c r="D202" s="1" t="s">
        <v>41</v>
      </c>
      <c r="E202" s="1">
        <v>78</v>
      </c>
      <c r="F202" s="1" t="s">
        <v>243</v>
      </c>
    </row>
    <row r="203" spans="1:6" x14ac:dyDescent="0.3">
      <c r="A203" s="1" t="s">
        <v>1472</v>
      </c>
      <c r="B203" s="13">
        <v>44998</v>
      </c>
      <c r="C203" s="1" t="s">
        <v>1089</v>
      </c>
      <c r="D203" s="1" t="s">
        <v>41</v>
      </c>
      <c r="E203" s="1">
        <v>82</v>
      </c>
      <c r="F203" s="1" t="s">
        <v>244</v>
      </c>
    </row>
    <row r="204" spans="1:6" x14ac:dyDescent="0.3">
      <c r="A204" s="1" t="s">
        <v>1473</v>
      </c>
      <c r="B204" s="13">
        <v>44998</v>
      </c>
      <c r="C204" s="1" t="s">
        <v>1168</v>
      </c>
      <c r="D204" s="1" t="s">
        <v>43</v>
      </c>
      <c r="E204" s="1">
        <v>22</v>
      </c>
      <c r="F204" s="1" t="s">
        <v>245</v>
      </c>
    </row>
    <row r="205" spans="1:6" x14ac:dyDescent="0.3">
      <c r="A205" s="1" t="s">
        <v>1474</v>
      </c>
      <c r="B205" s="13">
        <v>44998</v>
      </c>
      <c r="C205" s="1" t="s">
        <v>1256</v>
      </c>
      <c r="D205" s="1" t="s">
        <v>41</v>
      </c>
      <c r="E205" s="1">
        <v>62</v>
      </c>
      <c r="F205" s="1" t="s">
        <v>246</v>
      </c>
    </row>
    <row r="206" spans="1:6" x14ac:dyDescent="0.3">
      <c r="A206" s="1" t="s">
        <v>1475</v>
      </c>
      <c r="B206" s="13">
        <v>44999</v>
      </c>
      <c r="C206" s="1" t="s">
        <v>1210</v>
      </c>
      <c r="D206" s="1" t="s">
        <v>41</v>
      </c>
      <c r="E206" s="1">
        <v>70</v>
      </c>
      <c r="F206" s="1" t="s">
        <v>247</v>
      </c>
    </row>
    <row r="207" spans="1:6" x14ac:dyDescent="0.3">
      <c r="A207" s="1" t="s">
        <v>1476</v>
      </c>
      <c r="B207" s="13">
        <v>44999</v>
      </c>
      <c r="C207" s="1" t="s">
        <v>1189</v>
      </c>
      <c r="D207" s="1" t="s">
        <v>43</v>
      </c>
      <c r="E207" s="1">
        <v>21</v>
      </c>
      <c r="F207" s="1" t="s">
        <v>248</v>
      </c>
    </row>
    <row r="208" spans="1:6" x14ac:dyDescent="0.3">
      <c r="A208" s="1" t="s">
        <v>1477</v>
      </c>
      <c r="B208" s="13">
        <v>44999</v>
      </c>
      <c r="C208" s="1" t="s">
        <v>1117</v>
      </c>
      <c r="D208" s="1" t="s">
        <v>41</v>
      </c>
      <c r="E208" s="1">
        <v>61</v>
      </c>
      <c r="F208" s="1" t="s">
        <v>249</v>
      </c>
    </row>
    <row r="209" spans="1:6" x14ac:dyDescent="0.3">
      <c r="A209" s="1" t="s">
        <v>1478</v>
      </c>
      <c r="B209" s="13">
        <v>45000</v>
      </c>
      <c r="C209" s="1" t="s">
        <v>1110</v>
      </c>
      <c r="D209" s="1" t="s">
        <v>43</v>
      </c>
      <c r="E209" s="1">
        <v>46</v>
      </c>
      <c r="F209" s="1" t="s">
        <v>250</v>
      </c>
    </row>
    <row r="210" spans="1:6" x14ac:dyDescent="0.3">
      <c r="A210" s="1" t="s">
        <v>1479</v>
      </c>
      <c r="B210" s="13">
        <v>45001</v>
      </c>
      <c r="C210" s="1" t="s">
        <v>1256</v>
      </c>
      <c r="D210" s="1" t="s">
        <v>43</v>
      </c>
      <c r="E210" s="1">
        <v>20</v>
      </c>
      <c r="F210" s="1" t="s">
        <v>251</v>
      </c>
    </row>
    <row r="211" spans="1:6" x14ac:dyDescent="0.3">
      <c r="A211" s="1" t="s">
        <v>1480</v>
      </c>
      <c r="B211" s="13">
        <v>45001</v>
      </c>
      <c r="C211" s="1" t="s">
        <v>1120</v>
      </c>
      <c r="D211" s="1" t="s">
        <v>41</v>
      </c>
      <c r="E211" s="1">
        <v>80</v>
      </c>
      <c r="F211" s="1" t="s">
        <v>252</v>
      </c>
    </row>
    <row r="212" spans="1:6" x14ac:dyDescent="0.3">
      <c r="A212" s="1" t="s">
        <v>1481</v>
      </c>
      <c r="B212" s="13">
        <v>45001</v>
      </c>
      <c r="C212" s="1" t="s">
        <v>1226</v>
      </c>
      <c r="D212" s="1" t="s">
        <v>41</v>
      </c>
      <c r="E212" s="1">
        <v>29</v>
      </c>
      <c r="F212" s="1" t="s">
        <v>253</v>
      </c>
    </row>
    <row r="213" spans="1:6" x14ac:dyDescent="0.3">
      <c r="A213" s="1" t="s">
        <v>1482</v>
      </c>
      <c r="B213" s="13">
        <v>45001</v>
      </c>
      <c r="C213" s="1" t="s">
        <v>1218</v>
      </c>
      <c r="D213" s="1" t="s">
        <v>41</v>
      </c>
      <c r="E213" s="1">
        <v>43</v>
      </c>
      <c r="F213" s="1" t="s">
        <v>254</v>
      </c>
    </row>
    <row r="214" spans="1:6" x14ac:dyDescent="0.3">
      <c r="A214" s="1" t="s">
        <v>1483</v>
      </c>
      <c r="B214" s="13">
        <v>45002</v>
      </c>
      <c r="C214" s="1" t="s">
        <v>1095</v>
      </c>
      <c r="D214" s="1" t="s">
        <v>43</v>
      </c>
      <c r="E214" s="1">
        <v>23</v>
      </c>
      <c r="F214" s="1" t="s">
        <v>255</v>
      </c>
    </row>
    <row r="215" spans="1:6" x14ac:dyDescent="0.3">
      <c r="A215" s="1" t="s">
        <v>1484</v>
      </c>
      <c r="B215" s="13">
        <v>45002</v>
      </c>
      <c r="C215" s="1" t="s">
        <v>1095</v>
      </c>
      <c r="D215" s="1" t="s">
        <v>43</v>
      </c>
      <c r="E215" s="1">
        <v>12</v>
      </c>
      <c r="F215" s="1" t="s">
        <v>256</v>
      </c>
    </row>
    <row r="216" spans="1:6" x14ac:dyDescent="0.3">
      <c r="A216" s="1" t="s">
        <v>1485</v>
      </c>
      <c r="B216" s="13">
        <v>45002</v>
      </c>
      <c r="C216" s="1" t="s">
        <v>1260</v>
      </c>
      <c r="D216" s="1" t="s">
        <v>43</v>
      </c>
      <c r="E216" s="1">
        <v>99</v>
      </c>
      <c r="F216" s="1" t="s">
        <v>257</v>
      </c>
    </row>
    <row r="217" spans="1:6" x14ac:dyDescent="0.3">
      <c r="A217" s="1" t="s">
        <v>1486</v>
      </c>
      <c r="B217" s="13">
        <v>45003</v>
      </c>
      <c r="C217" s="1" t="s">
        <v>1186</v>
      </c>
      <c r="D217" s="1" t="s">
        <v>41</v>
      </c>
      <c r="E217" s="1">
        <v>37</v>
      </c>
      <c r="F217" s="1" t="s">
        <v>258</v>
      </c>
    </row>
    <row r="218" spans="1:6" x14ac:dyDescent="0.3">
      <c r="A218" s="1" t="s">
        <v>1487</v>
      </c>
      <c r="B218" s="13">
        <v>45003</v>
      </c>
      <c r="C218" s="1" t="s">
        <v>1095</v>
      </c>
      <c r="D218" s="1" t="s">
        <v>43</v>
      </c>
      <c r="E218" s="1">
        <v>26</v>
      </c>
      <c r="F218" s="1" t="s">
        <v>259</v>
      </c>
    </row>
    <row r="219" spans="1:6" x14ac:dyDescent="0.3">
      <c r="A219" s="1" t="s">
        <v>1488</v>
      </c>
      <c r="B219" s="13">
        <v>45004</v>
      </c>
      <c r="C219" s="1" t="s">
        <v>1248</v>
      </c>
      <c r="D219" s="1" t="s">
        <v>41</v>
      </c>
      <c r="E219" s="1">
        <v>94</v>
      </c>
      <c r="F219" s="1" t="s">
        <v>260</v>
      </c>
    </row>
    <row r="220" spans="1:6" x14ac:dyDescent="0.3">
      <c r="A220" s="1" t="s">
        <v>1489</v>
      </c>
      <c r="B220" s="13">
        <v>45004</v>
      </c>
      <c r="C220" s="1" t="s">
        <v>1112</v>
      </c>
      <c r="D220" s="1" t="s">
        <v>43</v>
      </c>
      <c r="E220" s="1">
        <v>43</v>
      </c>
      <c r="F220" s="1" t="s">
        <v>261</v>
      </c>
    </row>
    <row r="221" spans="1:6" x14ac:dyDescent="0.3">
      <c r="A221" s="1" t="s">
        <v>1490</v>
      </c>
      <c r="B221" s="13">
        <v>45004</v>
      </c>
      <c r="C221" s="1" t="s">
        <v>1093</v>
      </c>
      <c r="D221" s="1" t="s">
        <v>43</v>
      </c>
      <c r="E221" s="1">
        <v>34</v>
      </c>
      <c r="F221" s="1" t="s">
        <v>262</v>
      </c>
    </row>
    <row r="222" spans="1:6" x14ac:dyDescent="0.3">
      <c r="A222" s="1" t="s">
        <v>1491</v>
      </c>
      <c r="B222" s="13">
        <v>45005</v>
      </c>
      <c r="C222" s="1" t="s">
        <v>1234</v>
      </c>
      <c r="D222" s="1" t="s">
        <v>43</v>
      </c>
      <c r="E222" s="1">
        <v>88</v>
      </c>
      <c r="F222" s="1" t="s">
        <v>263</v>
      </c>
    </row>
    <row r="223" spans="1:6" x14ac:dyDescent="0.3">
      <c r="A223" s="1" t="s">
        <v>1492</v>
      </c>
      <c r="B223" s="13">
        <v>45005</v>
      </c>
      <c r="C223" s="1" t="s">
        <v>1155</v>
      </c>
      <c r="D223" s="1" t="s">
        <v>43</v>
      </c>
      <c r="E223" s="1">
        <v>22</v>
      </c>
      <c r="F223" s="1" t="s">
        <v>264</v>
      </c>
    </row>
    <row r="224" spans="1:6" x14ac:dyDescent="0.3">
      <c r="A224" s="1" t="s">
        <v>1493</v>
      </c>
      <c r="B224" s="13">
        <v>45006</v>
      </c>
      <c r="C224" s="1" t="s">
        <v>1172</v>
      </c>
      <c r="D224" s="1" t="s">
        <v>41</v>
      </c>
      <c r="E224" s="1">
        <f>26+18</f>
        <v>44</v>
      </c>
      <c r="F224" s="1" t="s">
        <v>265</v>
      </c>
    </row>
    <row r="225" spans="1:6" x14ac:dyDescent="0.3">
      <c r="A225" s="1" t="s">
        <v>1494</v>
      </c>
      <c r="B225" s="13">
        <v>45006</v>
      </c>
      <c r="C225" s="1" t="s">
        <v>1095</v>
      </c>
      <c r="D225" s="1" t="s">
        <v>43</v>
      </c>
      <c r="E225" s="1">
        <v>93</v>
      </c>
      <c r="F225" s="1" t="s">
        <v>266</v>
      </c>
    </row>
    <row r="226" spans="1:6" x14ac:dyDescent="0.3">
      <c r="A226" s="1" t="s">
        <v>1495</v>
      </c>
      <c r="B226" s="13">
        <v>45007</v>
      </c>
      <c r="C226" s="1" t="s">
        <v>1238</v>
      </c>
      <c r="D226" s="1" t="s">
        <v>41</v>
      </c>
      <c r="E226" s="1">
        <v>12</v>
      </c>
      <c r="F226" s="1" t="s">
        <v>267</v>
      </c>
    </row>
    <row r="227" spans="1:6" x14ac:dyDescent="0.3">
      <c r="A227" s="1" t="s">
        <v>1496</v>
      </c>
      <c r="B227" s="13">
        <v>45007</v>
      </c>
      <c r="C227" s="1" t="s">
        <v>1109</v>
      </c>
      <c r="D227" s="1" t="s">
        <v>41</v>
      </c>
      <c r="E227" s="1">
        <v>23</v>
      </c>
      <c r="F227" s="1" t="s">
        <v>268</v>
      </c>
    </row>
    <row r="228" spans="1:6" x14ac:dyDescent="0.3">
      <c r="A228" s="1" t="s">
        <v>1497</v>
      </c>
      <c r="B228" s="13">
        <v>45007</v>
      </c>
      <c r="C228" s="1" t="s">
        <v>1157</v>
      </c>
      <c r="D228" s="1" t="s">
        <v>41</v>
      </c>
      <c r="E228" s="1">
        <v>75</v>
      </c>
      <c r="F228" s="1" t="s">
        <v>269</v>
      </c>
    </row>
    <row r="229" spans="1:6" x14ac:dyDescent="0.3">
      <c r="A229" s="1" t="s">
        <v>1498</v>
      </c>
      <c r="B229" s="13">
        <v>45008</v>
      </c>
      <c r="C229" s="1" t="s">
        <v>1203</v>
      </c>
      <c r="D229" s="1" t="s">
        <v>43</v>
      </c>
      <c r="E229" s="1">
        <v>22</v>
      </c>
      <c r="F229" s="1" t="s">
        <v>270</v>
      </c>
    </row>
    <row r="230" spans="1:6" x14ac:dyDescent="0.3">
      <c r="A230" s="1" t="s">
        <v>1499</v>
      </c>
      <c r="B230" s="13">
        <v>45008</v>
      </c>
      <c r="C230" s="1" t="s">
        <v>1186</v>
      </c>
      <c r="D230" s="1" t="s">
        <v>41</v>
      </c>
      <c r="E230" s="1">
        <v>87</v>
      </c>
      <c r="F230" s="1" t="s">
        <v>271</v>
      </c>
    </row>
    <row r="231" spans="1:6" x14ac:dyDescent="0.3">
      <c r="A231" s="1" t="s">
        <v>1500</v>
      </c>
      <c r="B231" s="13">
        <v>45008</v>
      </c>
      <c r="C231" s="1" t="s">
        <v>1220</v>
      </c>
      <c r="D231" s="1" t="s">
        <v>43</v>
      </c>
      <c r="E231" s="1">
        <v>74</v>
      </c>
      <c r="F231" s="1" t="s">
        <v>272</v>
      </c>
    </row>
    <row r="232" spans="1:6" x14ac:dyDescent="0.3">
      <c r="A232" s="1" t="s">
        <v>1501</v>
      </c>
      <c r="B232" s="13">
        <v>45008</v>
      </c>
      <c r="C232" s="1" t="s">
        <v>1177</v>
      </c>
      <c r="D232" s="1" t="s">
        <v>41</v>
      </c>
      <c r="E232" s="1">
        <v>47</v>
      </c>
      <c r="F232" s="1" t="s">
        <v>273</v>
      </c>
    </row>
    <row r="233" spans="1:6" x14ac:dyDescent="0.3">
      <c r="A233" s="1" t="s">
        <v>1502</v>
      </c>
      <c r="B233" s="13">
        <v>45009</v>
      </c>
      <c r="C233" s="1" t="s">
        <v>1199</v>
      </c>
      <c r="D233" s="1" t="s">
        <v>43</v>
      </c>
      <c r="E233" s="1">
        <v>98</v>
      </c>
      <c r="F233" s="1" t="s">
        <v>274</v>
      </c>
    </row>
    <row r="234" spans="1:6" x14ac:dyDescent="0.3">
      <c r="A234" s="1" t="s">
        <v>1503</v>
      </c>
      <c r="B234" s="13">
        <v>45010</v>
      </c>
      <c r="C234" s="1" t="s">
        <v>1183</v>
      </c>
      <c r="D234" s="1" t="s">
        <v>43</v>
      </c>
      <c r="E234" s="1">
        <v>35</v>
      </c>
      <c r="F234" s="1" t="s">
        <v>275</v>
      </c>
    </row>
    <row r="235" spans="1:6" x14ac:dyDescent="0.3">
      <c r="A235" s="1" t="s">
        <v>1504</v>
      </c>
      <c r="B235" s="13">
        <v>45010</v>
      </c>
      <c r="C235" s="1" t="s">
        <v>1260</v>
      </c>
      <c r="D235" s="1" t="s">
        <v>43</v>
      </c>
      <c r="E235" s="1">
        <v>30</v>
      </c>
      <c r="F235" s="1" t="s">
        <v>276</v>
      </c>
    </row>
    <row r="236" spans="1:6" x14ac:dyDescent="0.3">
      <c r="A236" s="1" t="s">
        <v>1505</v>
      </c>
      <c r="B236" s="13">
        <v>45010</v>
      </c>
      <c r="C236" s="1" t="s">
        <v>1180</v>
      </c>
      <c r="D236" s="1" t="s">
        <v>43</v>
      </c>
      <c r="E236" s="1">
        <v>19</v>
      </c>
      <c r="F236" s="1" t="s">
        <v>277</v>
      </c>
    </row>
    <row r="237" spans="1:6" x14ac:dyDescent="0.3">
      <c r="A237" s="1" t="s">
        <v>1506</v>
      </c>
      <c r="B237" s="13">
        <v>45010</v>
      </c>
      <c r="C237" s="1" t="s">
        <v>1180</v>
      </c>
      <c r="D237" s="1" t="s">
        <v>41</v>
      </c>
      <c r="E237" s="1">
        <v>34</v>
      </c>
      <c r="F237" s="1" t="s">
        <v>278</v>
      </c>
    </row>
    <row r="238" spans="1:6" x14ac:dyDescent="0.3">
      <c r="A238" s="1" t="s">
        <v>1507</v>
      </c>
      <c r="B238" s="13">
        <v>45010</v>
      </c>
      <c r="C238" s="1" t="s">
        <v>1113</v>
      </c>
      <c r="D238" s="1" t="s">
        <v>41</v>
      </c>
      <c r="E238" s="1">
        <v>40</v>
      </c>
      <c r="F238" s="1" t="s">
        <v>279</v>
      </c>
    </row>
    <row r="239" spans="1:6" x14ac:dyDescent="0.3">
      <c r="A239" s="1" t="s">
        <v>1508</v>
      </c>
      <c r="B239" s="13">
        <v>45010</v>
      </c>
      <c r="C239" s="1" t="s">
        <v>1134</v>
      </c>
      <c r="D239" s="1" t="s">
        <v>43</v>
      </c>
      <c r="E239" s="1">
        <v>89</v>
      </c>
      <c r="F239" s="1" t="s">
        <v>280</v>
      </c>
    </row>
    <row r="240" spans="1:6" x14ac:dyDescent="0.3">
      <c r="A240" s="1" t="s">
        <v>1509</v>
      </c>
      <c r="B240" s="13">
        <v>45011</v>
      </c>
      <c r="C240" s="1" t="s">
        <v>1120</v>
      </c>
      <c r="D240" s="1" t="s">
        <v>41</v>
      </c>
      <c r="E240" s="1">
        <v>71</v>
      </c>
      <c r="F240" s="1" t="s">
        <v>281</v>
      </c>
    </row>
    <row r="241" spans="1:6" x14ac:dyDescent="0.3">
      <c r="A241" s="1" t="s">
        <v>1510</v>
      </c>
      <c r="B241" s="13">
        <v>45012</v>
      </c>
      <c r="C241" s="1" t="s">
        <v>1151</v>
      </c>
      <c r="D241" s="1" t="s">
        <v>41</v>
      </c>
      <c r="E241" s="1">
        <v>91</v>
      </c>
      <c r="F241" s="1" t="s">
        <v>282</v>
      </c>
    </row>
    <row r="242" spans="1:6" x14ac:dyDescent="0.3">
      <c r="A242" s="1" t="s">
        <v>1511</v>
      </c>
      <c r="B242" s="13">
        <v>45012</v>
      </c>
      <c r="C242" s="1" t="s">
        <v>1173</v>
      </c>
      <c r="D242" s="1" t="s">
        <v>41</v>
      </c>
      <c r="E242" s="1">
        <v>20</v>
      </c>
      <c r="F242" s="1" t="s">
        <v>283</v>
      </c>
    </row>
    <row r="243" spans="1:6" x14ac:dyDescent="0.3">
      <c r="A243" s="1" t="s">
        <v>1512</v>
      </c>
      <c r="B243" s="13">
        <v>45012</v>
      </c>
      <c r="C243" s="1" t="s">
        <v>1102</v>
      </c>
      <c r="D243" s="1" t="s">
        <v>43</v>
      </c>
      <c r="E243" s="1">
        <v>1</v>
      </c>
      <c r="F243" s="1" t="s">
        <v>284</v>
      </c>
    </row>
    <row r="244" spans="1:6" x14ac:dyDescent="0.3">
      <c r="A244" s="1" t="s">
        <v>1513</v>
      </c>
      <c r="B244" s="13">
        <v>45013</v>
      </c>
      <c r="C244" s="1" t="s">
        <v>1120</v>
      </c>
      <c r="D244" s="1" t="s">
        <v>43</v>
      </c>
      <c r="E244" s="1">
        <v>14</v>
      </c>
      <c r="F244" s="1" t="s">
        <v>285</v>
      </c>
    </row>
    <row r="245" spans="1:6" x14ac:dyDescent="0.3">
      <c r="A245" s="1" t="s">
        <v>1514</v>
      </c>
      <c r="B245" s="13">
        <v>45013</v>
      </c>
      <c r="C245" s="1" t="s">
        <v>1147</v>
      </c>
      <c r="D245" s="1" t="s">
        <v>41</v>
      </c>
      <c r="E245" s="1">
        <v>42</v>
      </c>
      <c r="F245" s="1" t="s">
        <v>286</v>
      </c>
    </row>
    <row r="246" spans="1:6" x14ac:dyDescent="0.3">
      <c r="A246" s="1" t="s">
        <v>1515</v>
      </c>
      <c r="B246" s="13">
        <v>45013</v>
      </c>
      <c r="C246" s="1" t="s">
        <v>1161</v>
      </c>
      <c r="D246" s="1" t="s">
        <v>41</v>
      </c>
      <c r="E246" s="1">
        <v>31</v>
      </c>
      <c r="F246" s="1" t="s">
        <v>287</v>
      </c>
    </row>
    <row r="247" spans="1:6" x14ac:dyDescent="0.3">
      <c r="A247" s="1" t="s">
        <v>1516</v>
      </c>
      <c r="B247" s="13">
        <v>45014</v>
      </c>
      <c r="C247" s="1" t="s">
        <v>1206</v>
      </c>
      <c r="D247" s="1" t="s">
        <v>41</v>
      </c>
      <c r="E247" s="1">
        <v>47</v>
      </c>
      <c r="F247" s="1" t="s">
        <v>288</v>
      </c>
    </row>
    <row r="248" spans="1:6" x14ac:dyDescent="0.3">
      <c r="A248" s="1" t="s">
        <v>1517</v>
      </c>
      <c r="B248" s="13">
        <v>45014</v>
      </c>
      <c r="C248" s="1" t="s">
        <v>1134</v>
      </c>
      <c r="D248" s="1" t="s">
        <v>43</v>
      </c>
      <c r="E248" s="1">
        <v>79</v>
      </c>
      <c r="F248" s="1" t="s">
        <v>289</v>
      </c>
    </row>
    <row r="249" spans="1:6" x14ac:dyDescent="0.3">
      <c r="A249" s="1" t="s">
        <v>1518</v>
      </c>
      <c r="B249" s="13">
        <v>45015</v>
      </c>
      <c r="C249" s="1" t="s">
        <v>1233</v>
      </c>
      <c r="D249" s="1" t="s">
        <v>43</v>
      </c>
      <c r="E249" s="1">
        <v>18</v>
      </c>
      <c r="F249" s="1" t="s">
        <v>290</v>
      </c>
    </row>
    <row r="250" spans="1:6" x14ac:dyDescent="0.3">
      <c r="A250" s="1" t="s">
        <v>1519</v>
      </c>
      <c r="B250" s="13">
        <v>45015</v>
      </c>
      <c r="C250" s="1" t="s">
        <v>1202</v>
      </c>
      <c r="D250" s="1" t="s">
        <v>43</v>
      </c>
      <c r="E250" s="1">
        <v>82</v>
      </c>
      <c r="F250" s="1" t="s">
        <v>291</v>
      </c>
    </row>
    <row r="251" spans="1:6" x14ac:dyDescent="0.3">
      <c r="A251" s="1" t="s">
        <v>1520</v>
      </c>
      <c r="B251" s="13">
        <v>45015</v>
      </c>
      <c r="C251" s="1" t="s">
        <v>1150</v>
      </c>
      <c r="D251" s="1" t="s">
        <v>43</v>
      </c>
      <c r="E251" s="1">
        <v>36</v>
      </c>
      <c r="F251" s="1" t="s">
        <v>292</v>
      </c>
    </row>
    <row r="252" spans="1:6" x14ac:dyDescent="0.3">
      <c r="A252" s="1" t="s">
        <v>1521</v>
      </c>
      <c r="B252" s="13">
        <v>45015</v>
      </c>
      <c r="C252" s="1" t="s">
        <v>1165</v>
      </c>
      <c r="D252" s="1" t="s">
        <v>41</v>
      </c>
      <c r="E252" s="1">
        <v>24</v>
      </c>
      <c r="F252" s="1" t="s">
        <v>293</v>
      </c>
    </row>
    <row r="253" spans="1:6" x14ac:dyDescent="0.3">
      <c r="A253" s="1" t="s">
        <v>1522</v>
      </c>
      <c r="B253" s="13">
        <v>45016</v>
      </c>
      <c r="C253" s="1" t="s">
        <v>1141</v>
      </c>
      <c r="D253" s="1" t="s">
        <v>43</v>
      </c>
      <c r="E253" s="1">
        <v>88</v>
      </c>
      <c r="F253" s="1" t="s">
        <v>294</v>
      </c>
    </row>
    <row r="254" spans="1:6" x14ac:dyDescent="0.3">
      <c r="A254" s="1" t="s">
        <v>1523</v>
      </c>
      <c r="B254" s="13">
        <v>45016</v>
      </c>
      <c r="C254" s="1" t="s">
        <v>1106</v>
      </c>
      <c r="D254" s="1" t="s">
        <v>43</v>
      </c>
      <c r="E254" s="1">
        <v>23</v>
      </c>
      <c r="F254" s="1" t="s">
        <v>295</v>
      </c>
    </row>
    <row r="255" spans="1:6" x14ac:dyDescent="0.3">
      <c r="A255" s="1" t="s">
        <v>1524</v>
      </c>
      <c r="B255" s="13">
        <v>45016</v>
      </c>
      <c r="C255" s="1" t="s">
        <v>1113</v>
      </c>
      <c r="D255" s="1" t="s">
        <v>43</v>
      </c>
      <c r="E255" s="1">
        <v>61</v>
      </c>
      <c r="F255" s="1" t="s">
        <v>296</v>
      </c>
    </row>
    <row r="256" spans="1:6" x14ac:dyDescent="0.3">
      <c r="A256" s="1" t="s">
        <v>1525</v>
      </c>
      <c r="B256" s="13">
        <v>45016</v>
      </c>
      <c r="C256" s="1" t="s">
        <v>1268</v>
      </c>
      <c r="D256" s="1" t="s">
        <v>43</v>
      </c>
      <c r="E256" s="1">
        <v>89</v>
      </c>
      <c r="F256" s="1" t="s">
        <v>297</v>
      </c>
    </row>
    <row r="257" spans="1:6" x14ac:dyDescent="0.3">
      <c r="A257" s="1" t="s">
        <v>1526</v>
      </c>
      <c r="B257" s="13">
        <v>45018</v>
      </c>
      <c r="C257" s="1" t="s">
        <v>1089</v>
      </c>
      <c r="D257" s="1" t="s">
        <v>41</v>
      </c>
      <c r="E257" s="1">
        <v>58</v>
      </c>
      <c r="F257" s="1" t="s">
        <v>298</v>
      </c>
    </row>
    <row r="258" spans="1:6" x14ac:dyDescent="0.3">
      <c r="A258" s="1" t="s">
        <v>1527</v>
      </c>
      <c r="B258" s="13">
        <v>45018</v>
      </c>
      <c r="C258" s="1" t="s">
        <v>1095</v>
      </c>
      <c r="D258" s="1" t="s">
        <v>43</v>
      </c>
      <c r="E258" s="1">
        <v>38</v>
      </c>
      <c r="F258" s="1" t="s">
        <v>299</v>
      </c>
    </row>
    <row r="259" spans="1:6" x14ac:dyDescent="0.3">
      <c r="A259" s="1" t="s">
        <v>1528</v>
      </c>
      <c r="B259" s="13">
        <v>45018</v>
      </c>
      <c r="C259" s="1" t="s">
        <v>1242</v>
      </c>
      <c r="D259" s="1" t="s">
        <v>43</v>
      </c>
      <c r="E259" s="1">
        <v>45</v>
      </c>
      <c r="F259" s="1" t="s">
        <v>300</v>
      </c>
    </row>
    <row r="260" spans="1:6" x14ac:dyDescent="0.3">
      <c r="A260" s="1" t="s">
        <v>1529</v>
      </c>
      <c r="B260" s="13">
        <v>45018</v>
      </c>
      <c r="C260" s="1" t="s">
        <v>1153</v>
      </c>
      <c r="D260" s="1" t="s">
        <v>43</v>
      </c>
      <c r="E260" s="1">
        <v>26</v>
      </c>
      <c r="F260" s="1" t="s">
        <v>301</v>
      </c>
    </row>
    <row r="261" spans="1:6" x14ac:dyDescent="0.3">
      <c r="A261" s="1" t="s">
        <v>1530</v>
      </c>
      <c r="B261" s="13">
        <v>45018</v>
      </c>
      <c r="C261" s="1" t="s">
        <v>1147</v>
      </c>
      <c r="D261" s="1" t="s">
        <v>41</v>
      </c>
      <c r="E261" s="1">
        <v>49</v>
      </c>
      <c r="F261" s="1" t="s">
        <v>302</v>
      </c>
    </row>
    <row r="262" spans="1:6" x14ac:dyDescent="0.3">
      <c r="A262" s="1" t="s">
        <v>1531</v>
      </c>
      <c r="B262" s="13">
        <v>45019</v>
      </c>
      <c r="C262" s="1" t="s">
        <v>1142</v>
      </c>
      <c r="D262" s="1" t="s">
        <v>41</v>
      </c>
      <c r="E262" s="1">
        <v>31</v>
      </c>
      <c r="F262" s="1" t="s">
        <v>303</v>
      </c>
    </row>
    <row r="263" spans="1:6" x14ac:dyDescent="0.3">
      <c r="A263" s="1" t="s">
        <v>1532</v>
      </c>
      <c r="B263" s="13">
        <v>45019</v>
      </c>
      <c r="C263" s="1" t="s">
        <v>1217</v>
      </c>
      <c r="D263" s="1" t="s">
        <v>41</v>
      </c>
      <c r="E263" s="1">
        <v>57</v>
      </c>
      <c r="F263" s="1" t="s">
        <v>304</v>
      </c>
    </row>
    <row r="264" spans="1:6" x14ac:dyDescent="0.3">
      <c r="A264" s="1" t="s">
        <v>1533</v>
      </c>
      <c r="B264" s="13">
        <v>45020</v>
      </c>
      <c r="C264" s="1" t="s">
        <v>1122</v>
      </c>
      <c r="D264" s="1" t="s">
        <v>43</v>
      </c>
      <c r="E264" s="1">
        <v>12</v>
      </c>
      <c r="F264" s="1" t="s">
        <v>305</v>
      </c>
    </row>
    <row r="265" spans="1:6" x14ac:dyDescent="0.3">
      <c r="A265" s="1" t="s">
        <v>1534</v>
      </c>
      <c r="B265" s="13">
        <v>45020</v>
      </c>
      <c r="C265" s="1" t="s">
        <v>1176</v>
      </c>
      <c r="D265" s="1" t="s">
        <v>41</v>
      </c>
      <c r="E265" s="1">
        <v>64</v>
      </c>
      <c r="F265" s="1" t="s">
        <v>306</v>
      </c>
    </row>
    <row r="266" spans="1:6" x14ac:dyDescent="0.3">
      <c r="A266" s="1" t="s">
        <v>1535</v>
      </c>
      <c r="B266" s="13">
        <v>45021</v>
      </c>
      <c r="C266" s="1" t="s">
        <v>1218</v>
      </c>
      <c r="D266" s="1" t="s">
        <v>43</v>
      </c>
      <c r="E266" s="1">
        <v>11</v>
      </c>
      <c r="F266" s="1" t="s">
        <v>307</v>
      </c>
    </row>
    <row r="267" spans="1:6" x14ac:dyDescent="0.3">
      <c r="A267" s="1" t="s">
        <v>1536</v>
      </c>
      <c r="B267" s="13">
        <v>45021</v>
      </c>
      <c r="C267" s="1" t="s">
        <v>1252</v>
      </c>
      <c r="D267" s="1" t="s">
        <v>41</v>
      </c>
      <c r="E267" s="1">
        <v>46</v>
      </c>
      <c r="F267" s="1" t="s">
        <v>308</v>
      </c>
    </row>
    <row r="268" spans="1:6" x14ac:dyDescent="0.3">
      <c r="A268" s="1" t="s">
        <v>1537</v>
      </c>
      <c r="B268" s="13">
        <v>45021</v>
      </c>
      <c r="C268" s="1" t="s">
        <v>1151</v>
      </c>
      <c r="D268" s="1" t="s">
        <v>41</v>
      </c>
      <c r="E268" s="1">
        <v>89</v>
      </c>
      <c r="F268" s="1" t="s">
        <v>309</v>
      </c>
    </row>
    <row r="269" spans="1:6" x14ac:dyDescent="0.3">
      <c r="A269" s="1" t="s">
        <v>1538</v>
      </c>
      <c r="B269" s="13">
        <v>45021</v>
      </c>
      <c r="C269" s="1" t="s">
        <v>1217</v>
      </c>
      <c r="D269" s="1" t="s">
        <v>41</v>
      </c>
      <c r="E269" s="1">
        <v>72</v>
      </c>
      <c r="F269" s="1" t="s">
        <v>310</v>
      </c>
    </row>
    <row r="270" spans="1:6" x14ac:dyDescent="0.3">
      <c r="A270" s="1" t="s">
        <v>1539</v>
      </c>
      <c r="B270" s="13">
        <v>45022</v>
      </c>
      <c r="C270" s="1" t="s">
        <v>1130</v>
      </c>
      <c r="D270" s="1" t="s">
        <v>43</v>
      </c>
      <c r="E270" s="1">
        <v>38</v>
      </c>
      <c r="F270" s="1" t="s">
        <v>311</v>
      </c>
    </row>
    <row r="271" spans="1:6" x14ac:dyDescent="0.3">
      <c r="A271" s="1" t="s">
        <v>1540</v>
      </c>
      <c r="B271" s="13">
        <v>45022</v>
      </c>
      <c r="C271" s="1" t="s">
        <v>1123</v>
      </c>
      <c r="D271" s="1" t="s">
        <v>41</v>
      </c>
      <c r="E271" s="1">
        <v>79</v>
      </c>
      <c r="F271" s="1" t="s">
        <v>312</v>
      </c>
    </row>
    <row r="272" spans="1:6" x14ac:dyDescent="0.3">
      <c r="A272" s="1" t="s">
        <v>1541</v>
      </c>
      <c r="B272" s="13">
        <v>45022</v>
      </c>
      <c r="C272" s="1" t="s">
        <v>1170</v>
      </c>
      <c r="D272" s="1" t="s">
        <v>41</v>
      </c>
      <c r="E272" s="1">
        <v>56</v>
      </c>
      <c r="F272" s="1" t="s">
        <v>313</v>
      </c>
    </row>
    <row r="273" spans="1:6" x14ac:dyDescent="0.3">
      <c r="A273" s="1" t="s">
        <v>1542</v>
      </c>
      <c r="B273" s="13">
        <v>45023</v>
      </c>
      <c r="C273" s="1" t="s">
        <v>1108</v>
      </c>
      <c r="D273" s="1" t="s">
        <v>41</v>
      </c>
      <c r="E273" s="1">
        <v>54</v>
      </c>
      <c r="F273" s="1" t="s">
        <v>314</v>
      </c>
    </row>
    <row r="274" spans="1:6" x14ac:dyDescent="0.3">
      <c r="A274" s="1" t="s">
        <v>1543</v>
      </c>
      <c r="B274" s="13">
        <v>45023</v>
      </c>
      <c r="C274" s="1" t="s">
        <v>1190</v>
      </c>
      <c r="D274" s="1" t="s">
        <v>43</v>
      </c>
      <c r="E274" s="1">
        <v>91</v>
      </c>
      <c r="F274" s="1" t="s">
        <v>315</v>
      </c>
    </row>
    <row r="275" spans="1:6" x14ac:dyDescent="0.3">
      <c r="A275" s="1" t="s">
        <v>1544</v>
      </c>
      <c r="B275" s="13">
        <v>45024</v>
      </c>
      <c r="C275" s="1" t="s">
        <v>1222</v>
      </c>
      <c r="D275" s="1" t="s">
        <v>41</v>
      </c>
      <c r="E275" s="1">
        <v>82</v>
      </c>
      <c r="F275" s="1" t="s">
        <v>316</v>
      </c>
    </row>
    <row r="276" spans="1:6" x14ac:dyDescent="0.3">
      <c r="A276" s="1" t="s">
        <v>1545</v>
      </c>
      <c r="B276" s="13">
        <v>45024</v>
      </c>
      <c r="C276" s="1" t="s">
        <v>1101</v>
      </c>
      <c r="D276" s="1" t="s">
        <v>41</v>
      </c>
      <c r="E276" s="1">
        <v>36</v>
      </c>
      <c r="F276" s="1" t="s">
        <v>317</v>
      </c>
    </row>
    <row r="277" spans="1:6" x14ac:dyDescent="0.3">
      <c r="A277" s="1" t="s">
        <v>1546</v>
      </c>
      <c r="B277" s="13">
        <v>45024</v>
      </c>
      <c r="C277" s="1" t="s">
        <v>1101</v>
      </c>
      <c r="D277" s="1" t="s">
        <v>43</v>
      </c>
      <c r="E277" s="1">
        <v>22</v>
      </c>
      <c r="F277" s="1" t="s">
        <v>318</v>
      </c>
    </row>
    <row r="278" spans="1:6" x14ac:dyDescent="0.3">
      <c r="A278" s="1" t="s">
        <v>1547</v>
      </c>
      <c r="B278" s="13">
        <v>45024</v>
      </c>
      <c r="C278" s="1" t="s">
        <v>1189</v>
      </c>
      <c r="D278" s="1" t="s">
        <v>43</v>
      </c>
      <c r="E278" s="1">
        <v>87</v>
      </c>
      <c r="F278" s="1" t="s">
        <v>319</v>
      </c>
    </row>
    <row r="279" spans="1:6" x14ac:dyDescent="0.3">
      <c r="A279" s="1" t="s">
        <v>1548</v>
      </c>
      <c r="B279" s="13">
        <v>45024</v>
      </c>
      <c r="C279" s="1" t="s">
        <v>1145</v>
      </c>
      <c r="D279" s="1" t="s">
        <v>43</v>
      </c>
      <c r="E279" s="1">
        <v>44</v>
      </c>
      <c r="F279" s="1" t="s">
        <v>320</v>
      </c>
    </row>
    <row r="280" spans="1:6" x14ac:dyDescent="0.3">
      <c r="A280" s="1" t="s">
        <v>1549</v>
      </c>
      <c r="B280" s="13">
        <v>45025</v>
      </c>
      <c r="C280" s="1" t="s">
        <v>1244</v>
      </c>
      <c r="D280" s="1" t="s">
        <v>41</v>
      </c>
      <c r="E280" s="1">
        <v>96</v>
      </c>
      <c r="F280" s="1" t="s">
        <v>321</v>
      </c>
    </row>
    <row r="281" spans="1:6" x14ac:dyDescent="0.3">
      <c r="A281" s="1" t="s">
        <v>1550</v>
      </c>
      <c r="B281" s="13">
        <v>45025</v>
      </c>
      <c r="C281" s="1" t="s">
        <v>1228</v>
      </c>
      <c r="D281" s="1" t="s">
        <v>41</v>
      </c>
      <c r="E281" s="1">
        <v>39</v>
      </c>
      <c r="F281" s="1" t="s">
        <v>322</v>
      </c>
    </row>
    <row r="282" spans="1:6" x14ac:dyDescent="0.3">
      <c r="A282" s="1" t="s">
        <v>1551</v>
      </c>
      <c r="B282" s="13">
        <v>45027</v>
      </c>
      <c r="C282" s="1" t="s">
        <v>1231</v>
      </c>
      <c r="D282" s="1" t="s">
        <v>43</v>
      </c>
      <c r="E282" s="1">
        <v>15</v>
      </c>
      <c r="F282" s="1" t="s">
        <v>323</v>
      </c>
    </row>
    <row r="283" spans="1:6" x14ac:dyDescent="0.3">
      <c r="A283" s="1" t="s">
        <v>1552</v>
      </c>
      <c r="B283" s="13">
        <v>45027</v>
      </c>
      <c r="C283" s="1" t="s">
        <v>1235</v>
      </c>
      <c r="D283" s="1" t="s">
        <v>41</v>
      </c>
      <c r="E283" s="1">
        <v>52</v>
      </c>
      <c r="F283" s="1" t="s">
        <v>324</v>
      </c>
    </row>
    <row r="284" spans="1:6" x14ac:dyDescent="0.3">
      <c r="A284" s="1" t="s">
        <v>1553</v>
      </c>
      <c r="B284" s="13">
        <v>45027</v>
      </c>
      <c r="C284" s="1" t="s">
        <v>1145</v>
      </c>
      <c r="D284" s="1" t="s">
        <v>41</v>
      </c>
      <c r="E284" s="1">
        <v>16</v>
      </c>
      <c r="F284" s="1" t="s">
        <v>325</v>
      </c>
    </row>
    <row r="285" spans="1:6" x14ac:dyDescent="0.3">
      <c r="A285" s="1" t="s">
        <v>1554</v>
      </c>
      <c r="B285" s="13">
        <v>45027</v>
      </c>
      <c r="C285" s="1" t="s">
        <v>1216</v>
      </c>
      <c r="D285" s="1" t="s">
        <v>43</v>
      </c>
      <c r="E285" s="1">
        <v>30</v>
      </c>
      <c r="F285" s="1" t="s">
        <v>326</v>
      </c>
    </row>
    <row r="286" spans="1:6" x14ac:dyDescent="0.3">
      <c r="A286" s="1" t="s">
        <v>1555</v>
      </c>
      <c r="B286" s="13">
        <v>45028</v>
      </c>
      <c r="C286" s="1" t="s">
        <v>1123</v>
      </c>
      <c r="D286" s="1" t="s">
        <v>41</v>
      </c>
      <c r="E286" s="1">
        <v>75</v>
      </c>
      <c r="F286" s="1" t="s">
        <v>327</v>
      </c>
    </row>
    <row r="287" spans="1:6" x14ac:dyDescent="0.3">
      <c r="A287" s="1" t="s">
        <v>1556</v>
      </c>
      <c r="B287" s="13">
        <v>45028</v>
      </c>
      <c r="C287" s="1" t="s">
        <v>1226</v>
      </c>
      <c r="D287" s="1" t="s">
        <v>43</v>
      </c>
      <c r="E287" s="1">
        <v>30</v>
      </c>
      <c r="F287" s="1" t="s">
        <v>328</v>
      </c>
    </row>
    <row r="288" spans="1:6" x14ac:dyDescent="0.3">
      <c r="A288" s="1" t="s">
        <v>1557</v>
      </c>
      <c r="B288" s="13">
        <v>45029</v>
      </c>
      <c r="C288" s="1" t="s">
        <v>1164</v>
      </c>
      <c r="D288" s="1" t="s">
        <v>41</v>
      </c>
      <c r="E288" s="1">
        <v>79</v>
      </c>
      <c r="F288" s="1" t="s">
        <v>329</v>
      </c>
    </row>
    <row r="289" spans="1:6" x14ac:dyDescent="0.3">
      <c r="A289" s="1" t="s">
        <v>1558</v>
      </c>
      <c r="B289" s="13">
        <v>45029</v>
      </c>
      <c r="C289" s="1" t="s">
        <v>1153</v>
      </c>
      <c r="D289" s="1" t="s">
        <v>41</v>
      </c>
      <c r="E289" s="1">
        <v>71</v>
      </c>
      <c r="F289" s="1" t="s">
        <v>330</v>
      </c>
    </row>
    <row r="290" spans="1:6" x14ac:dyDescent="0.3">
      <c r="A290" s="1" t="s">
        <v>1559</v>
      </c>
      <c r="B290" s="13">
        <v>45030</v>
      </c>
      <c r="C290" s="1" t="s">
        <v>1120</v>
      </c>
      <c r="D290" s="1" t="s">
        <v>43</v>
      </c>
      <c r="E290" s="1">
        <v>65</v>
      </c>
      <c r="F290" s="1" t="s">
        <v>331</v>
      </c>
    </row>
    <row r="291" spans="1:6" x14ac:dyDescent="0.3">
      <c r="A291" s="1" t="s">
        <v>1560</v>
      </c>
      <c r="B291" s="13">
        <v>45030</v>
      </c>
      <c r="C291" s="1" t="s">
        <v>1248</v>
      </c>
      <c r="D291" s="1" t="s">
        <v>41</v>
      </c>
      <c r="E291" s="1">
        <v>100</v>
      </c>
      <c r="F291" s="1" t="s">
        <v>332</v>
      </c>
    </row>
    <row r="292" spans="1:6" x14ac:dyDescent="0.3">
      <c r="A292" s="1" t="s">
        <v>1561</v>
      </c>
      <c r="B292" s="13">
        <v>45030</v>
      </c>
      <c r="C292" s="1" t="s">
        <v>1087</v>
      </c>
      <c r="D292" s="1" t="s">
        <v>41</v>
      </c>
      <c r="E292" s="1">
        <v>58</v>
      </c>
      <c r="F292" s="1" t="s">
        <v>333</v>
      </c>
    </row>
    <row r="293" spans="1:6" x14ac:dyDescent="0.3">
      <c r="A293" s="1" t="s">
        <v>1562</v>
      </c>
      <c r="B293" s="13">
        <v>45030</v>
      </c>
      <c r="C293" s="1" t="s">
        <v>1249</v>
      </c>
      <c r="D293" s="1" t="s">
        <v>43</v>
      </c>
      <c r="E293" s="1">
        <v>75</v>
      </c>
      <c r="F293" s="1" t="s">
        <v>334</v>
      </c>
    </row>
    <row r="294" spans="1:6" x14ac:dyDescent="0.3">
      <c r="A294" s="1" t="s">
        <v>1563</v>
      </c>
      <c r="B294" s="13">
        <v>45030</v>
      </c>
      <c r="C294" s="1" t="s">
        <v>1248</v>
      </c>
      <c r="D294" s="1" t="s">
        <v>43</v>
      </c>
      <c r="E294" s="1">
        <v>69</v>
      </c>
      <c r="F294" s="1" t="s">
        <v>335</v>
      </c>
    </row>
    <row r="295" spans="1:6" x14ac:dyDescent="0.3">
      <c r="A295" s="1" t="s">
        <v>1564</v>
      </c>
      <c r="B295" s="13">
        <v>45030</v>
      </c>
      <c r="C295" s="1" t="s">
        <v>1222</v>
      </c>
      <c r="D295" s="1" t="s">
        <v>41</v>
      </c>
      <c r="E295" s="1">
        <v>59</v>
      </c>
      <c r="F295" s="1" t="s">
        <v>336</v>
      </c>
    </row>
    <row r="296" spans="1:6" x14ac:dyDescent="0.3">
      <c r="A296" s="1" t="s">
        <v>1565</v>
      </c>
      <c r="B296" s="13">
        <v>45031</v>
      </c>
      <c r="C296" s="1" t="s">
        <v>1231</v>
      </c>
      <c r="D296" s="1" t="s">
        <v>41</v>
      </c>
      <c r="E296" s="1">
        <v>34</v>
      </c>
      <c r="F296" s="1" t="s">
        <v>337</v>
      </c>
    </row>
    <row r="297" spans="1:6" x14ac:dyDescent="0.3">
      <c r="A297" s="1" t="s">
        <v>1566</v>
      </c>
      <c r="B297" s="13">
        <v>45031</v>
      </c>
      <c r="C297" s="1" t="s">
        <v>1099</v>
      </c>
      <c r="D297" s="1" t="s">
        <v>41</v>
      </c>
      <c r="E297" s="1">
        <v>19</v>
      </c>
      <c r="F297" s="1" t="s">
        <v>338</v>
      </c>
    </row>
    <row r="298" spans="1:6" x14ac:dyDescent="0.3">
      <c r="A298" s="1" t="s">
        <v>1567</v>
      </c>
      <c r="B298" s="13">
        <v>45032</v>
      </c>
      <c r="C298" s="1" t="s">
        <v>1112</v>
      </c>
      <c r="D298" s="1" t="s">
        <v>41</v>
      </c>
      <c r="E298" s="1">
        <v>97</v>
      </c>
      <c r="F298" s="1" t="s">
        <v>339</v>
      </c>
    </row>
    <row r="299" spans="1:6" x14ac:dyDescent="0.3">
      <c r="A299" s="1" t="s">
        <v>1568</v>
      </c>
      <c r="B299" s="13">
        <v>45032</v>
      </c>
      <c r="C299" s="1" t="s">
        <v>1219</v>
      </c>
      <c r="D299" s="1" t="s">
        <v>41</v>
      </c>
      <c r="E299" s="1">
        <v>70</v>
      </c>
      <c r="F299" s="1" t="s">
        <v>340</v>
      </c>
    </row>
    <row r="300" spans="1:6" x14ac:dyDescent="0.3">
      <c r="A300" s="1" t="s">
        <v>1569</v>
      </c>
      <c r="B300" s="13">
        <v>45033</v>
      </c>
      <c r="C300" s="1" t="s">
        <v>1159</v>
      </c>
      <c r="D300" s="1" t="s">
        <v>41</v>
      </c>
      <c r="E300" s="1">
        <v>36</v>
      </c>
      <c r="F300" s="1" t="s">
        <v>341</v>
      </c>
    </row>
    <row r="301" spans="1:6" x14ac:dyDescent="0.3">
      <c r="A301" s="1" t="s">
        <v>1570</v>
      </c>
      <c r="B301" s="13">
        <v>45034</v>
      </c>
      <c r="C301" s="1" t="s">
        <v>1232</v>
      </c>
      <c r="D301" s="1" t="s">
        <v>43</v>
      </c>
      <c r="E301" s="1">
        <v>88</v>
      </c>
      <c r="F301" s="1" t="s">
        <v>342</v>
      </c>
    </row>
    <row r="302" spans="1:6" x14ac:dyDescent="0.3">
      <c r="A302" s="1" t="s">
        <v>1571</v>
      </c>
      <c r="B302" s="13">
        <v>45034</v>
      </c>
      <c r="C302" s="1" t="s">
        <v>1248</v>
      </c>
      <c r="D302" s="1" t="s">
        <v>43</v>
      </c>
      <c r="E302" s="1">
        <v>75</v>
      </c>
      <c r="F302" s="1" t="s">
        <v>343</v>
      </c>
    </row>
    <row r="303" spans="1:6" x14ac:dyDescent="0.3">
      <c r="A303" s="1" t="s">
        <v>1572</v>
      </c>
      <c r="B303" s="13">
        <v>45034</v>
      </c>
      <c r="C303" s="1" t="s">
        <v>1156</v>
      </c>
      <c r="D303" s="1" t="s">
        <v>43</v>
      </c>
      <c r="E303" s="1">
        <v>62</v>
      </c>
      <c r="F303" s="1" t="s">
        <v>344</v>
      </c>
    </row>
    <row r="304" spans="1:6" x14ac:dyDescent="0.3">
      <c r="A304" s="1" t="s">
        <v>1573</v>
      </c>
      <c r="B304" s="13">
        <v>45035</v>
      </c>
      <c r="C304" s="1" t="s">
        <v>1218</v>
      </c>
      <c r="D304" s="1" t="s">
        <v>41</v>
      </c>
      <c r="E304" s="1">
        <v>19</v>
      </c>
      <c r="F304" s="1" t="s">
        <v>345</v>
      </c>
    </row>
    <row r="305" spans="1:6" x14ac:dyDescent="0.3">
      <c r="A305" s="1" t="s">
        <v>1574</v>
      </c>
      <c r="B305" s="13">
        <v>45036</v>
      </c>
      <c r="C305" s="1" t="s">
        <v>1217</v>
      </c>
      <c r="D305" s="1" t="s">
        <v>41</v>
      </c>
      <c r="E305" s="1">
        <v>35</v>
      </c>
      <c r="F305" s="1" t="s">
        <v>346</v>
      </c>
    </row>
    <row r="306" spans="1:6" x14ac:dyDescent="0.3">
      <c r="A306" s="1" t="s">
        <v>1575</v>
      </c>
      <c r="B306" s="13">
        <v>45037</v>
      </c>
      <c r="C306" s="1" t="s">
        <v>1222</v>
      </c>
      <c r="D306" s="1" t="s">
        <v>43</v>
      </c>
      <c r="E306" s="1">
        <v>50</v>
      </c>
      <c r="F306" s="1" t="s">
        <v>347</v>
      </c>
    </row>
    <row r="307" spans="1:6" x14ac:dyDescent="0.3">
      <c r="A307" s="1" t="s">
        <v>1576</v>
      </c>
      <c r="B307" s="13">
        <v>45037</v>
      </c>
      <c r="C307" s="1" t="s">
        <v>1150</v>
      </c>
      <c r="D307" s="1" t="s">
        <v>43</v>
      </c>
      <c r="E307" s="1">
        <v>65</v>
      </c>
      <c r="F307" s="1" t="s">
        <v>348</v>
      </c>
    </row>
    <row r="308" spans="1:6" x14ac:dyDescent="0.3">
      <c r="A308" s="1" t="s">
        <v>1577</v>
      </c>
      <c r="B308" s="13">
        <v>45037</v>
      </c>
      <c r="C308" s="1" t="s">
        <v>1233</v>
      </c>
      <c r="D308" s="1" t="s">
        <v>41</v>
      </c>
      <c r="E308" s="1">
        <v>18</v>
      </c>
      <c r="F308" s="1" t="s">
        <v>349</v>
      </c>
    </row>
    <row r="309" spans="1:6" x14ac:dyDescent="0.3">
      <c r="A309" s="1" t="s">
        <v>1578</v>
      </c>
      <c r="B309" s="13">
        <v>45037</v>
      </c>
      <c r="C309" s="1" t="s">
        <v>1226</v>
      </c>
      <c r="D309" s="1" t="s">
        <v>43</v>
      </c>
      <c r="E309" s="1">
        <v>89</v>
      </c>
      <c r="F309" s="1" t="s">
        <v>350</v>
      </c>
    </row>
    <row r="310" spans="1:6" x14ac:dyDescent="0.3">
      <c r="A310" s="1" t="s">
        <v>1579</v>
      </c>
      <c r="B310" s="13">
        <v>45037</v>
      </c>
      <c r="C310" s="1" t="s">
        <v>1148</v>
      </c>
      <c r="D310" s="1" t="s">
        <v>41</v>
      </c>
      <c r="E310" s="1">
        <v>34</v>
      </c>
      <c r="F310" s="1" t="s">
        <v>351</v>
      </c>
    </row>
    <row r="311" spans="1:6" x14ac:dyDescent="0.3">
      <c r="A311" s="1" t="s">
        <v>1580</v>
      </c>
      <c r="B311" s="13">
        <v>45038</v>
      </c>
      <c r="C311" s="1" t="s">
        <v>1190</v>
      </c>
      <c r="D311" s="1" t="s">
        <v>43</v>
      </c>
      <c r="E311" s="1">
        <v>87</v>
      </c>
      <c r="F311" s="1" t="s">
        <v>352</v>
      </c>
    </row>
    <row r="312" spans="1:6" x14ac:dyDescent="0.3">
      <c r="A312" s="1" t="s">
        <v>1581</v>
      </c>
      <c r="B312" s="13">
        <v>45038</v>
      </c>
      <c r="C312" s="1" t="s">
        <v>1235</v>
      </c>
      <c r="D312" s="1" t="s">
        <v>43</v>
      </c>
      <c r="E312" s="1">
        <v>53</v>
      </c>
      <c r="F312" s="1" t="s">
        <v>353</v>
      </c>
    </row>
    <row r="313" spans="1:6" x14ac:dyDescent="0.3">
      <c r="A313" s="1" t="s">
        <v>1582</v>
      </c>
      <c r="B313" s="13">
        <v>45039</v>
      </c>
      <c r="C313" s="1" t="s">
        <v>1110</v>
      </c>
      <c r="D313" s="1" t="s">
        <v>43</v>
      </c>
      <c r="E313" s="1">
        <v>56</v>
      </c>
      <c r="F313" s="1" t="s">
        <v>354</v>
      </c>
    </row>
    <row r="314" spans="1:6" x14ac:dyDescent="0.3">
      <c r="A314" s="1" t="s">
        <v>1583</v>
      </c>
      <c r="B314" s="13">
        <v>45039</v>
      </c>
      <c r="C314" s="1" t="s">
        <v>1148</v>
      </c>
      <c r="D314" s="1" t="s">
        <v>41</v>
      </c>
      <c r="E314" s="1">
        <v>38</v>
      </c>
      <c r="F314" s="1" t="s">
        <v>355</v>
      </c>
    </row>
    <row r="315" spans="1:6" x14ac:dyDescent="0.3">
      <c r="A315" s="1" t="s">
        <v>1584</v>
      </c>
      <c r="B315" s="13">
        <v>45039</v>
      </c>
      <c r="C315" s="1" t="s">
        <v>1123</v>
      </c>
      <c r="D315" s="1" t="s">
        <v>41</v>
      </c>
      <c r="E315" s="1">
        <v>97</v>
      </c>
      <c r="F315" s="1" t="s">
        <v>356</v>
      </c>
    </row>
    <row r="316" spans="1:6" x14ac:dyDescent="0.3">
      <c r="A316" s="1" t="s">
        <v>1585</v>
      </c>
      <c r="B316" s="13">
        <v>45039</v>
      </c>
      <c r="C316" s="1" t="s">
        <v>1208</v>
      </c>
      <c r="D316" s="1" t="s">
        <v>41</v>
      </c>
      <c r="E316" s="1">
        <v>91</v>
      </c>
      <c r="F316" s="1" t="s">
        <v>357</v>
      </c>
    </row>
    <row r="317" spans="1:6" x14ac:dyDescent="0.3">
      <c r="A317" s="1" t="s">
        <v>1586</v>
      </c>
      <c r="B317" s="13">
        <v>45040</v>
      </c>
      <c r="C317" s="1" t="s">
        <v>1104</v>
      </c>
      <c r="D317" s="1" t="s">
        <v>41</v>
      </c>
      <c r="E317" s="1">
        <v>22</v>
      </c>
      <c r="F317" s="1" t="s">
        <v>358</v>
      </c>
    </row>
    <row r="318" spans="1:6" x14ac:dyDescent="0.3">
      <c r="A318" s="1" t="s">
        <v>1587</v>
      </c>
      <c r="B318" s="13">
        <v>45040</v>
      </c>
      <c r="C318" s="1" t="s">
        <v>1183</v>
      </c>
      <c r="D318" s="1" t="s">
        <v>43</v>
      </c>
      <c r="E318" s="1">
        <v>78</v>
      </c>
      <c r="F318" s="1" t="s">
        <v>359</v>
      </c>
    </row>
    <row r="319" spans="1:6" x14ac:dyDescent="0.3">
      <c r="A319" s="1" t="s">
        <v>1588</v>
      </c>
      <c r="B319" s="13">
        <v>45041</v>
      </c>
      <c r="C319" s="1" t="s">
        <v>1159</v>
      </c>
      <c r="D319" s="1" t="s">
        <v>43</v>
      </c>
      <c r="E319" s="1">
        <v>23</v>
      </c>
      <c r="F319" s="1" t="s">
        <v>360</v>
      </c>
    </row>
    <row r="320" spans="1:6" x14ac:dyDescent="0.3">
      <c r="A320" s="1" t="s">
        <v>1589</v>
      </c>
      <c r="B320" s="13">
        <v>45041</v>
      </c>
      <c r="C320" s="1" t="s">
        <v>1174</v>
      </c>
      <c r="D320" s="1" t="s">
        <v>43</v>
      </c>
      <c r="E320" s="1">
        <v>78</v>
      </c>
      <c r="F320" s="1" t="s">
        <v>361</v>
      </c>
    </row>
    <row r="321" spans="1:6" x14ac:dyDescent="0.3">
      <c r="A321" s="1" t="s">
        <v>1590</v>
      </c>
      <c r="B321" s="13">
        <v>45041</v>
      </c>
      <c r="C321" s="1" t="s">
        <v>1111</v>
      </c>
      <c r="D321" s="1" t="s">
        <v>43</v>
      </c>
      <c r="E321" s="1">
        <v>95</v>
      </c>
      <c r="F321" s="1" t="s">
        <v>362</v>
      </c>
    </row>
    <row r="322" spans="1:6" x14ac:dyDescent="0.3">
      <c r="A322" s="1" t="s">
        <v>1591</v>
      </c>
      <c r="B322" s="13">
        <v>45042</v>
      </c>
      <c r="C322" s="1" t="s">
        <v>1170</v>
      </c>
      <c r="D322" s="1" t="s">
        <v>43</v>
      </c>
      <c r="E322" s="1">
        <v>49</v>
      </c>
      <c r="F322" s="1" t="s">
        <v>363</v>
      </c>
    </row>
    <row r="323" spans="1:6" x14ac:dyDescent="0.3">
      <c r="A323" s="1" t="s">
        <v>1592</v>
      </c>
      <c r="B323" s="13">
        <v>45043</v>
      </c>
      <c r="C323" s="1" t="s">
        <v>1219</v>
      </c>
      <c r="D323" s="1" t="s">
        <v>43</v>
      </c>
      <c r="E323" s="1">
        <v>26</v>
      </c>
      <c r="F323" s="1" t="s">
        <v>364</v>
      </c>
    </row>
    <row r="324" spans="1:6" x14ac:dyDescent="0.3">
      <c r="A324" s="1" t="s">
        <v>1593</v>
      </c>
      <c r="B324" s="13">
        <v>45043</v>
      </c>
      <c r="C324" s="1" t="s">
        <v>1181</v>
      </c>
      <c r="D324" s="1" t="s">
        <v>43</v>
      </c>
      <c r="E324" s="1">
        <v>50</v>
      </c>
      <c r="F324" s="1" t="s">
        <v>365</v>
      </c>
    </row>
    <row r="325" spans="1:6" x14ac:dyDescent="0.3">
      <c r="A325" s="1" t="s">
        <v>1594</v>
      </c>
      <c r="B325" s="13">
        <v>45043</v>
      </c>
      <c r="C325" s="1" t="s">
        <v>1130</v>
      </c>
      <c r="D325" s="1" t="s">
        <v>41</v>
      </c>
      <c r="E325" s="1">
        <v>50</v>
      </c>
      <c r="F325" s="1" t="s">
        <v>366</v>
      </c>
    </row>
    <row r="326" spans="1:6" x14ac:dyDescent="0.3">
      <c r="A326" s="1" t="s">
        <v>1595</v>
      </c>
      <c r="B326" s="13">
        <v>45043</v>
      </c>
      <c r="C326" s="1" t="s">
        <v>1151</v>
      </c>
      <c r="D326" s="1" t="s">
        <v>41</v>
      </c>
      <c r="E326" s="1">
        <v>91</v>
      </c>
      <c r="F326" s="1" t="s">
        <v>367</v>
      </c>
    </row>
    <row r="327" spans="1:6" x14ac:dyDescent="0.3">
      <c r="A327" s="1" t="s">
        <v>1596</v>
      </c>
      <c r="B327" s="13">
        <v>45043</v>
      </c>
      <c r="C327" s="1" t="s">
        <v>1130</v>
      </c>
      <c r="D327" s="1" t="s">
        <v>41</v>
      </c>
      <c r="E327" s="1">
        <v>23</v>
      </c>
      <c r="F327" s="1" t="s">
        <v>368</v>
      </c>
    </row>
    <row r="328" spans="1:6" x14ac:dyDescent="0.3">
      <c r="A328" s="1" t="s">
        <v>1597</v>
      </c>
      <c r="B328" s="13">
        <v>45044</v>
      </c>
      <c r="C328" s="1" t="s">
        <v>1260</v>
      </c>
      <c r="D328" s="1" t="s">
        <v>41</v>
      </c>
      <c r="E328" s="1">
        <v>76</v>
      </c>
      <c r="F328" s="1" t="s">
        <v>369</v>
      </c>
    </row>
    <row r="329" spans="1:6" x14ac:dyDescent="0.3">
      <c r="A329" s="1" t="s">
        <v>1598</v>
      </c>
      <c r="B329" s="13">
        <v>45044</v>
      </c>
      <c r="C329" s="1" t="s">
        <v>1199</v>
      </c>
      <c r="D329" s="1" t="s">
        <v>43</v>
      </c>
      <c r="E329" s="1">
        <v>15</v>
      </c>
      <c r="F329" s="1" t="s">
        <v>370</v>
      </c>
    </row>
    <row r="330" spans="1:6" x14ac:dyDescent="0.3">
      <c r="A330" s="1" t="s">
        <v>1599</v>
      </c>
      <c r="B330" s="13">
        <v>45044</v>
      </c>
      <c r="C330" s="1" t="s">
        <v>1187</v>
      </c>
      <c r="D330" s="1" t="s">
        <v>41</v>
      </c>
      <c r="E330" s="1">
        <v>79</v>
      </c>
      <c r="F330" s="1" t="s">
        <v>371</v>
      </c>
    </row>
    <row r="331" spans="1:6" x14ac:dyDescent="0.3">
      <c r="A331" s="1" t="s">
        <v>1600</v>
      </c>
      <c r="B331" s="13">
        <v>45044</v>
      </c>
      <c r="C331" s="1" t="s">
        <v>1176</v>
      </c>
      <c r="D331" s="1" t="s">
        <v>43</v>
      </c>
      <c r="E331" s="1">
        <v>22</v>
      </c>
      <c r="F331" s="1" t="s">
        <v>372</v>
      </c>
    </row>
    <row r="332" spans="1:6" x14ac:dyDescent="0.3">
      <c r="A332" s="1" t="s">
        <v>1601</v>
      </c>
      <c r="B332" s="13">
        <v>45045</v>
      </c>
      <c r="C332" s="1" t="s">
        <v>1231</v>
      </c>
      <c r="D332" s="1" t="s">
        <v>41</v>
      </c>
      <c r="E332" s="1">
        <v>37</v>
      </c>
      <c r="F332" s="1" t="s">
        <v>373</v>
      </c>
    </row>
    <row r="333" spans="1:6" x14ac:dyDescent="0.3">
      <c r="A333" s="1" t="s">
        <v>1602</v>
      </c>
      <c r="B333" s="13">
        <v>45045</v>
      </c>
      <c r="C333" s="1" t="s">
        <v>1177</v>
      </c>
      <c r="D333" s="1" t="s">
        <v>41</v>
      </c>
      <c r="E333" s="1">
        <v>25</v>
      </c>
      <c r="F333" s="1" t="s">
        <v>374</v>
      </c>
    </row>
    <row r="334" spans="1:6" x14ac:dyDescent="0.3">
      <c r="A334" s="1" t="s">
        <v>1603</v>
      </c>
      <c r="B334" s="13">
        <v>45046</v>
      </c>
      <c r="C334" s="1" t="s">
        <v>1227</v>
      </c>
      <c r="D334" s="1" t="s">
        <v>41</v>
      </c>
      <c r="E334" s="1">
        <v>11</v>
      </c>
      <c r="F334" s="1" t="s">
        <v>375</v>
      </c>
    </row>
    <row r="335" spans="1:6" x14ac:dyDescent="0.3">
      <c r="A335" s="1" t="s">
        <v>1604</v>
      </c>
      <c r="B335" s="13">
        <v>45046</v>
      </c>
      <c r="C335" s="1" t="s">
        <v>1104</v>
      </c>
      <c r="D335" s="1" t="s">
        <v>41</v>
      </c>
      <c r="E335" s="1">
        <v>21</v>
      </c>
      <c r="F335" s="1" t="s">
        <v>376</v>
      </c>
    </row>
    <row r="336" spans="1:6" x14ac:dyDescent="0.3">
      <c r="A336" s="1" t="s">
        <v>1605</v>
      </c>
      <c r="B336" s="13">
        <v>45046</v>
      </c>
      <c r="C336" s="1" t="s">
        <v>1099</v>
      </c>
      <c r="D336" s="1" t="s">
        <v>43</v>
      </c>
      <c r="E336" s="1">
        <v>34</v>
      </c>
      <c r="F336" s="1" t="s">
        <v>377</v>
      </c>
    </row>
    <row r="337" spans="1:6" x14ac:dyDescent="0.3">
      <c r="A337" s="1" t="s">
        <v>1606</v>
      </c>
      <c r="B337" s="13">
        <v>45046</v>
      </c>
      <c r="C337" s="1" t="s">
        <v>1219</v>
      </c>
      <c r="D337" s="1" t="s">
        <v>41</v>
      </c>
      <c r="E337" s="1">
        <v>44</v>
      </c>
      <c r="F337" s="1" t="s">
        <v>378</v>
      </c>
    </row>
    <row r="338" spans="1:6" x14ac:dyDescent="0.3">
      <c r="A338" s="1" t="s">
        <v>1607</v>
      </c>
      <c r="B338" s="13">
        <v>45048</v>
      </c>
      <c r="C338" s="1" t="s">
        <v>1183</v>
      </c>
      <c r="D338" s="1" t="s">
        <v>43</v>
      </c>
      <c r="E338" s="1">
        <v>88</v>
      </c>
      <c r="F338" s="1" t="s">
        <v>379</v>
      </c>
    </row>
    <row r="339" spans="1:6" x14ac:dyDescent="0.3">
      <c r="A339" s="1" t="s">
        <v>1608</v>
      </c>
      <c r="B339" s="13">
        <v>45048</v>
      </c>
      <c r="C339" s="1" t="s">
        <v>1106</v>
      </c>
      <c r="D339" s="1" t="s">
        <v>43</v>
      </c>
      <c r="E339" s="1">
        <v>61</v>
      </c>
      <c r="F339" s="1" t="s">
        <v>380</v>
      </c>
    </row>
    <row r="340" spans="1:6" x14ac:dyDescent="0.3">
      <c r="A340" s="1" t="s">
        <v>1609</v>
      </c>
      <c r="B340" s="13">
        <v>45048</v>
      </c>
      <c r="C340" s="1" t="s">
        <v>1219</v>
      </c>
      <c r="D340" s="1" t="s">
        <v>41</v>
      </c>
      <c r="E340" s="1">
        <v>12</v>
      </c>
      <c r="F340" s="1" t="s">
        <v>381</v>
      </c>
    </row>
    <row r="341" spans="1:6" x14ac:dyDescent="0.3">
      <c r="A341" s="1" t="s">
        <v>1610</v>
      </c>
      <c r="B341" s="13">
        <v>45049</v>
      </c>
      <c r="C341" s="1" t="s">
        <v>1190</v>
      </c>
      <c r="D341" s="1" t="s">
        <v>43</v>
      </c>
      <c r="E341" s="1">
        <v>98</v>
      </c>
      <c r="F341" s="1" t="s">
        <v>382</v>
      </c>
    </row>
    <row r="342" spans="1:6" x14ac:dyDescent="0.3">
      <c r="A342" s="1" t="s">
        <v>1611</v>
      </c>
      <c r="B342" s="13">
        <v>45049</v>
      </c>
      <c r="C342" s="1" t="s">
        <v>1190</v>
      </c>
      <c r="D342" s="1" t="s">
        <v>43</v>
      </c>
      <c r="E342" s="1">
        <v>46</v>
      </c>
      <c r="F342" s="1" t="s">
        <v>383</v>
      </c>
    </row>
    <row r="343" spans="1:6" x14ac:dyDescent="0.3">
      <c r="A343" s="1" t="s">
        <v>1612</v>
      </c>
      <c r="B343" s="13">
        <v>45049</v>
      </c>
      <c r="C343" s="1" t="s">
        <v>1263</v>
      </c>
      <c r="D343" s="1" t="s">
        <v>43</v>
      </c>
      <c r="E343" s="1">
        <v>88</v>
      </c>
      <c r="F343" s="1" t="s">
        <v>384</v>
      </c>
    </row>
    <row r="344" spans="1:6" x14ac:dyDescent="0.3">
      <c r="A344" s="1" t="s">
        <v>1613</v>
      </c>
      <c r="B344" s="13">
        <v>45050</v>
      </c>
      <c r="C344" s="1" t="s">
        <v>1147</v>
      </c>
      <c r="D344" s="1" t="s">
        <v>43</v>
      </c>
      <c r="E344" s="1">
        <v>88</v>
      </c>
      <c r="F344" s="1" t="s">
        <v>385</v>
      </c>
    </row>
    <row r="345" spans="1:6" x14ac:dyDescent="0.3">
      <c r="A345" s="1" t="s">
        <v>1614</v>
      </c>
      <c r="B345" s="13">
        <v>45051</v>
      </c>
      <c r="C345" s="1" t="s">
        <v>1090</v>
      </c>
      <c r="D345" s="1" t="s">
        <v>43</v>
      </c>
      <c r="E345" s="1">
        <v>94</v>
      </c>
      <c r="F345" s="1" t="s">
        <v>386</v>
      </c>
    </row>
    <row r="346" spans="1:6" x14ac:dyDescent="0.3">
      <c r="A346" s="1" t="s">
        <v>1615</v>
      </c>
      <c r="B346" s="13">
        <v>45053</v>
      </c>
      <c r="C346" s="1" t="s">
        <v>1217</v>
      </c>
      <c r="D346" s="1" t="s">
        <v>41</v>
      </c>
      <c r="E346" s="1">
        <v>18</v>
      </c>
      <c r="F346" s="1" t="s">
        <v>387</v>
      </c>
    </row>
    <row r="347" spans="1:6" x14ac:dyDescent="0.3">
      <c r="A347" s="1" t="s">
        <v>1616</v>
      </c>
      <c r="B347" s="13">
        <v>45053</v>
      </c>
      <c r="C347" s="1" t="s">
        <v>1223</v>
      </c>
      <c r="D347" s="1" t="s">
        <v>43</v>
      </c>
      <c r="E347" s="1">
        <v>94</v>
      </c>
      <c r="F347" s="1" t="s">
        <v>388</v>
      </c>
    </row>
    <row r="348" spans="1:6" x14ac:dyDescent="0.3">
      <c r="A348" s="1" t="s">
        <v>1617</v>
      </c>
      <c r="B348" s="13">
        <v>45054</v>
      </c>
      <c r="C348" s="1" t="s">
        <v>1111</v>
      </c>
      <c r="D348" s="1" t="s">
        <v>43</v>
      </c>
      <c r="E348" s="1">
        <v>41</v>
      </c>
      <c r="F348" s="1" t="s">
        <v>389</v>
      </c>
    </row>
    <row r="349" spans="1:6" x14ac:dyDescent="0.3">
      <c r="A349" s="1" t="s">
        <v>1618</v>
      </c>
      <c r="B349" s="13">
        <v>45054</v>
      </c>
      <c r="C349" s="1" t="s">
        <v>1101</v>
      </c>
      <c r="D349" s="1" t="s">
        <v>43</v>
      </c>
      <c r="E349" s="1">
        <v>18</v>
      </c>
      <c r="F349" s="1" t="s">
        <v>390</v>
      </c>
    </row>
    <row r="350" spans="1:6" x14ac:dyDescent="0.3">
      <c r="A350" s="1" t="s">
        <v>1619</v>
      </c>
      <c r="B350" s="13">
        <v>45054</v>
      </c>
      <c r="C350" s="1" t="s">
        <v>1145</v>
      </c>
      <c r="D350" s="1" t="s">
        <v>41</v>
      </c>
      <c r="E350" s="1">
        <v>19</v>
      </c>
      <c r="F350" s="1" t="s">
        <v>391</v>
      </c>
    </row>
    <row r="351" spans="1:6" x14ac:dyDescent="0.3">
      <c r="A351" s="1" t="s">
        <v>1620</v>
      </c>
      <c r="B351" s="13">
        <v>45055</v>
      </c>
      <c r="C351" s="1" t="s">
        <v>1156</v>
      </c>
      <c r="D351" s="1" t="s">
        <v>41</v>
      </c>
      <c r="E351" s="1">
        <v>98</v>
      </c>
      <c r="F351" s="1" t="s">
        <v>392</v>
      </c>
    </row>
    <row r="352" spans="1:6" x14ac:dyDescent="0.3">
      <c r="A352" s="1" t="s">
        <v>1621</v>
      </c>
      <c r="B352" s="13">
        <v>45056</v>
      </c>
      <c r="C352" s="1" t="s">
        <v>1129</v>
      </c>
      <c r="D352" s="1" t="s">
        <v>41</v>
      </c>
      <c r="E352" s="1">
        <v>21</v>
      </c>
      <c r="F352" s="1" t="s">
        <v>393</v>
      </c>
    </row>
    <row r="353" spans="1:6" x14ac:dyDescent="0.3">
      <c r="A353" s="1" t="s">
        <v>1622</v>
      </c>
      <c r="B353" s="13">
        <v>45056</v>
      </c>
      <c r="C353" s="1" t="s">
        <v>1204</v>
      </c>
      <c r="D353" s="1" t="s">
        <v>41</v>
      </c>
      <c r="E353" s="1">
        <v>74</v>
      </c>
      <c r="F353" s="1" t="s">
        <v>394</v>
      </c>
    </row>
    <row r="354" spans="1:6" x14ac:dyDescent="0.3">
      <c r="A354" s="1" t="s">
        <v>1623</v>
      </c>
      <c r="B354" s="13">
        <v>45056</v>
      </c>
      <c r="C354" s="1" t="s">
        <v>1217</v>
      </c>
      <c r="D354" s="1" t="s">
        <v>41</v>
      </c>
      <c r="E354" s="1">
        <v>20</v>
      </c>
      <c r="F354" s="1" t="s">
        <v>395</v>
      </c>
    </row>
    <row r="355" spans="1:6" x14ac:dyDescent="0.3">
      <c r="A355" s="1" t="s">
        <v>1624</v>
      </c>
      <c r="B355" s="13">
        <v>45056</v>
      </c>
      <c r="C355" s="1" t="s">
        <v>1130</v>
      </c>
      <c r="D355" s="1" t="s">
        <v>41</v>
      </c>
      <c r="E355" s="1">
        <v>35</v>
      </c>
      <c r="F355" s="1" t="s">
        <v>396</v>
      </c>
    </row>
    <row r="356" spans="1:6" x14ac:dyDescent="0.3">
      <c r="A356" s="1" t="s">
        <v>1625</v>
      </c>
      <c r="B356" s="13">
        <v>45057</v>
      </c>
      <c r="C356" s="1" t="s">
        <v>1123</v>
      </c>
      <c r="D356" s="1" t="s">
        <v>41</v>
      </c>
      <c r="E356" s="1">
        <v>81</v>
      </c>
      <c r="F356" s="1" t="s">
        <v>397</v>
      </c>
    </row>
    <row r="357" spans="1:6" x14ac:dyDescent="0.3">
      <c r="A357" s="1" t="s">
        <v>1626</v>
      </c>
      <c r="B357" s="13">
        <v>45057</v>
      </c>
      <c r="C357" s="1" t="s">
        <v>1111</v>
      </c>
      <c r="D357" s="1" t="s">
        <v>41</v>
      </c>
      <c r="E357" s="1">
        <v>85</v>
      </c>
      <c r="F357" s="1" t="s">
        <v>398</v>
      </c>
    </row>
    <row r="358" spans="1:6" x14ac:dyDescent="0.3">
      <c r="A358" s="1" t="s">
        <v>1627</v>
      </c>
      <c r="B358" s="13">
        <v>45057</v>
      </c>
      <c r="C358" s="1" t="s">
        <v>1228</v>
      </c>
      <c r="D358" s="1" t="s">
        <v>41</v>
      </c>
      <c r="E358" s="1">
        <v>45</v>
      </c>
      <c r="F358" s="1" t="s">
        <v>399</v>
      </c>
    </row>
    <row r="359" spans="1:6" x14ac:dyDescent="0.3">
      <c r="A359" s="1" t="s">
        <v>1628</v>
      </c>
      <c r="B359" s="13">
        <v>45057</v>
      </c>
      <c r="C359" s="1" t="s">
        <v>1087</v>
      </c>
      <c r="D359" s="1" t="s">
        <v>43</v>
      </c>
      <c r="E359" s="1">
        <v>47</v>
      </c>
      <c r="F359" s="1" t="s">
        <v>400</v>
      </c>
    </row>
    <row r="360" spans="1:6" x14ac:dyDescent="0.3">
      <c r="A360" s="1" t="s">
        <v>1629</v>
      </c>
      <c r="B360" s="13">
        <v>45058</v>
      </c>
      <c r="C360" s="1" t="s">
        <v>1117</v>
      </c>
      <c r="D360" s="1" t="s">
        <v>43</v>
      </c>
      <c r="E360" s="1">
        <v>12</v>
      </c>
      <c r="F360" s="1" t="s">
        <v>401</v>
      </c>
    </row>
    <row r="361" spans="1:6" x14ac:dyDescent="0.3">
      <c r="A361" s="1" t="s">
        <v>1630</v>
      </c>
      <c r="B361" s="13">
        <v>45058</v>
      </c>
      <c r="C361" s="1" t="s">
        <v>1132</v>
      </c>
      <c r="D361" s="1" t="s">
        <v>41</v>
      </c>
      <c r="E361" s="1">
        <v>20</v>
      </c>
      <c r="F361" s="1" t="s">
        <v>402</v>
      </c>
    </row>
    <row r="362" spans="1:6" x14ac:dyDescent="0.3">
      <c r="A362" s="1" t="s">
        <v>1631</v>
      </c>
      <c r="B362" s="13">
        <v>45059</v>
      </c>
      <c r="C362" s="1" t="s">
        <v>1191</v>
      </c>
      <c r="D362" s="1" t="s">
        <v>43</v>
      </c>
      <c r="E362" s="1">
        <v>87</v>
      </c>
      <c r="F362" s="1" t="s">
        <v>403</v>
      </c>
    </row>
    <row r="363" spans="1:6" x14ac:dyDescent="0.3">
      <c r="A363" s="1" t="s">
        <v>1632</v>
      </c>
      <c r="B363" s="13">
        <v>45059</v>
      </c>
      <c r="C363" s="1" t="s">
        <v>1242</v>
      </c>
      <c r="D363" s="1" t="s">
        <v>43</v>
      </c>
      <c r="E363" s="1">
        <v>23</v>
      </c>
      <c r="F363" s="1" t="s">
        <v>404</v>
      </c>
    </row>
    <row r="364" spans="1:6" x14ac:dyDescent="0.3">
      <c r="A364" s="1" t="s">
        <v>1633</v>
      </c>
      <c r="B364" s="13">
        <v>45059</v>
      </c>
      <c r="C364" s="1" t="s">
        <v>1172</v>
      </c>
      <c r="D364" s="1" t="s">
        <v>41</v>
      </c>
      <c r="E364" s="1">
        <v>92</v>
      </c>
      <c r="F364" s="1" t="s">
        <v>405</v>
      </c>
    </row>
    <row r="365" spans="1:6" x14ac:dyDescent="0.3">
      <c r="A365" s="1" t="s">
        <v>1634</v>
      </c>
      <c r="B365" s="13">
        <v>45060</v>
      </c>
      <c r="C365" s="1" t="s">
        <v>1222</v>
      </c>
      <c r="D365" s="1" t="s">
        <v>43</v>
      </c>
      <c r="E365" s="1">
        <v>22</v>
      </c>
      <c r="F365" s="1" t="s">
        <v>406</v>
      </c>
    </row>
    <row r="366" spans="1:6" x14ac:dyDescent="0.3">
      <c r="A366" s="1" t="s">
        <v>1635</v>
      </c>
      <c r="B366" s="13">
        <v>45060</v>
      </c>
      <c r="C366" s="1" t="s">
        <v>1165</v>
      </c>
      <c r="D366" s="1" t="s">
        <v>41</v>
      </c>
      <c r="E366" s="1">
        <v>26</v>
      </c>
      <c r="F366" s="1" t="s">
        <v>407</v>
      </c>
    </row>
    <row r="367" spans="1:6" x14ac:dyDescent="0.3">
      <c r="A367" s="1" t="s">
        <v>1636</v>
      </c>
      <c r="B367" s="13">
        <v>45060</v>
      </c>
      <c r="C367" s="1" t="s">
        <v>1267</v>
      </c>
      <c r="D367" s="1" t="s">
        <v>43</v>
      </c>
      <c r="E367" s="1">
        <v>62</v>
      </c>
      <c r="F367" s="1" t="s">
        <v>408</v>
      </c>
    </row>
    <row r="368" spans="1:6" x14ac:dyDescent="0.3">
      <c r="A368" s="1" t="s">
        <v>1637</v>
      </c>
      <c r="B368" s="13">
        <v>45060</v>
      </c>
      <c r="C368" s="1" t="s">
        <v>1249</v>
      </c>
      <c r="D368" s="1" t="s">
        <v>41</v>
      </c>
      <c r="E368" s="1">
        <v>84</v>
      </c>
      <c r="F368" s="1" t="s">
        <v>409</v>
      </c>
    </row>
    <row r="369" spans="1:6" x14ac:dyDescent="0.3">
      <c r="A369" s="1" t="s">
        <v>1638</v>
      </c>
      <c r="B369" s="13">
        <v>45060</v>
      </c>
      <c r="C369" s="1" t="s">
        <v>1224</v>
      </c>
      <c r="D369" s="1" t="s">
        <v>41</v>
      </c>
      <c r="E369" s="1">
        <v>81</v>
      </c>
      <c r="F369" s="1" t="s">
        <v>410</v>
      </c>
    </row>
    <row r="370" spans="1:6" x14ac:dyDescent="0.3">
      <c r="A370" s="1" t="s">
        <v>1639</v>
      </c>
      <c r="B370" s="13">
        <v>45062</v>
      </c>
      <c r="C370" s="1" t="s">
        <v>1097</v>
      </c>
      <c r="D370" s="1" t="s">
        <v>41</v>
      </c>
      <c r="E370" s="1">
        <v>61</v>
      </c>
      <c r="F370" s="1" t="s">
        <v>411</v>
      </c>
    </row>
    <row r="371" spans="1:6" x14ac:dyDescent="0.3">
      <c r="A371" s="1" t="s">
        <v>1640</v>
      </c>
      <c r="B371" s="13">
        <v>45063</v>
      </c>
      <c r="C371" s="1" t="s">
        <v>1148</v>
      </c>
      <c r="D371" s="1" t="s">
        <v>41</v>
      </c>
      <c r="E371" s="1">
        <v>70</v>
      </c>
      <c r="F371" s="1" t="s">
        <v>412</v>
      </c>
    </row>
    <row r="372" spans="1:6" x14ac:dyDescent="0.3">
      <c r="A372" s="1" t="s">
        <v>1641</v>
      </c>
      <c r="B372" s="13">
        <v>45063</v>
      </c>
      <c r="C372" s="1" t="s">
        <v>1097</v>
      </c>
      <c r="D372" s="1" t="s">
        <v>41</v>
      </c>
      <c r="E372" s="1">
        <v>49</v>
      </c>
      <c r="F372" s="1" t="s">
        <v>413</v>
      </c>
    </row>
    <row r="373" spans="1:6" x14ac:dyDescent="0.3">
      <c r="A373" s="1" t="s">
        <v>1642</v>
      </c>
      <c r="B373" s="13">
        <v>45063</v>
      </c>
      <c r="C373" s="1" t="s">
        <v>1226</v>
      </c>
      <c r="D373" s="1" t="s">
        <v>43</v>
      </c>
      <c r="E373" s="1">
        <v>20</v>
      </c>
      <c r="F373" s="1" t="s">
        <v>414</v>
      </c>
    </row>
    <row r="374" spans="1:6" x14ac:dyDescent="0.3">
      <c r="A374" s="1" t="s">
        <v>1643</v>
      </c>
      <c r="B374" s="13">
        <v>45063</v>
      </c>
      <c r="C374" s="1" t="s">
        <v>1234</v>
      </c>
      <c r="D374" s="1" t="s">
        <v>43</v>
      </c>
      <c r="E374" s="1">
        <v>50</v>
      </c>
      <c r="F374" s="1" t="s">
        <v>415</v>
      </c>
    </row>
    <row r="375" spans="1:6" x14ac:dyDescent="0.3">
      <c r="A375" s="1" t="s">
        <v>1644</v>
      </c>
      <c r="B375" s="13">
        <v>45063</v>
      </c>
      <c r="C375" s="1" t="s">
        <v>1156</v>
      </c>
      <c r="D375" s="1" t="s">
        <v>41</v>
      </c>
      <c r="E375" s="1">
        <v>63</v>
      </c>
      <c r="F375" s="1" t="s">
        <v>416</v>
      </c>
    </row>
    <row r="376" spans="1:6" x14ac:dyDescent="0.3">
      <c r="A376" s="1" t="s">
        <v>1645</v>
      </c>
      <c r="B376" s="13">
        <v>45064</v>
      </c>
      <c r="C376" s="1" t="s">
        <v>1217</v>
      </c>
      <c r="D376" s="1" t="s">
        <v>43</v>
      </c>
      <c r="E376" s="1">
        <v>42</v>
      </c>
      <c r="F376" s="1" t="s">
        <v>417</v>
      </c>
    </row>
    <row r="377" spans="1:6" x14ac:dyDescent="0.3">
      <c r="A377" s="1" t="s">
        <v>1646</v>
      </c>
      <c r="B377" s="13">
        <v>45065</v>
      </c>
      <c r="C377" s="1" t="s">
        <v>1142</v>
      </c>
      <c r="D377" s="1" t="s">
        <v>43</v>
      </c>
      <c r="E377" s="1">
        <v>22</v>
      </c>
      <c r="F377" s="1" t="s">
        <v>418</v>
      </c>
    </row>
    <row r="378" spans="1:6" x14ac:dyDescent="0.3">
      <c r="A378" s="1" t="s">
        <v>1647</v>
      </c>
      <c r="B378" s="13">
        <v>45066</v>
      </c>
      <c r="C378" s="1" t="s">
        <v>1254</v>
      </c>
      <c r="D378" s="1" t="s">
        <v>41</v>
      </c>
      <c r="E378" s="1">
        <v>84</v>
      </c>
      <c r="F378" s="1" t="s">
        <v>419</v>
      </c>
    </row>
    <row r="379" spans="1:6" x14ac:dyDescent="0.3">
      <c r="A379" s="1" t="s">
        <v>1648</v>
      </c>
      <c r="B379" s="13">
        <v>45066</v>
      </c>
      <c r="C379" s="1" t="s">
        <v>1212</v>
      </c>
      <c r="D379" s="1" t="s">
        <v>43</v>
      </c>
      <c r="E379" s="1">
        <v>93</v>
      </c>
      <c r="F379" s="1" t="s">
        <v>420</v>
      </c>
    </row>
    <row r="380" spans="1:6" x14ac:dyDescent="0.3">
      <c r="A380" s="1" t="s">
        <v>1649</v>
      </c>
      <c r="B380" s="13">
        <v>45067</v>
      </c>
      <c r="C380" s="1" t="s">
        <v>1251</v>
      </c>
      <c r="D380" s="1" t="s">
        <v>43</v>
      </c>
      <c r="E380" s="1">
        <v>46</v>
      </c>
      <c r="F380" s="1" t="s">
        <v>421</v>
      </c>
    </row>
    <row r="381" spans="1:6" x14ac:dyDescent="0.3">
      <c r="A381" s="1" t="s">
        <v>1650</v>
      </c>
      <c r="B381" s="13">
        <v>45067</v>
      </c>
      <c r="C381" s="1" t="s">
        <v>1142</v>
      </c>
      <c r="D381" s="1" t="s">
        <v>43</v>
      </c>
      <c r="E381" s="1">
        <v>42</v>
      </c>
      <c r="F381" s="1" t="s">
        <v>422</v>
      </c>
    </row>
    <row r="382" spans="1:6" x14ac:dyDescent="0.3">
      <c r="A382" s="1" t="s">
        <v>1651</v>
      </c>
      <c r="B382" s="13">
        <v>45067</v>
      </c>
      <c r="C382" s="1" t="s">
        <v>1208</v>
      </c>
      <c r="D382" s="1" t="s">
        <v>41</v>
      </c>
      <c r="E382" s="1">
        <v>91</v>
      </c>
      <c r="F382" s="1" t="s">
        <v>423</v>
      </c>
    </row>
    <row r="383" spans="1:6" x14ac:dyDescent="0.3">
      <c r="A383" s="1" t="s">
        <v>1652</v>
      </c>
      <c r="B383" s="13">
        <v>45068</v>
      </c>
      <c r="C383" s="1" t="s">
        <v>1159</v>
      </c>
      <c r="D383" s="1" t="s">
        <v>43</v>
      </c>
      <c r="E383" s="1">
        <v>16</v>
      </c>
      <c r="F383" s="1" t="s">
        <v>424</v>
      </c>
    </row>
    <row r="384" spans="1:6" x14ac:dyDescent="0.3">
      <c r="A384" s="1" t="s">
        <v>1653</v>
      </c>
      <c r="B384" s="13">
        <v>45068</v>
      </c>
      <c r="C384" s="1" t="s">
        <v>1120</v>
      </c>
      <c r="D384" s="1" t="s">
        <v>43</v>
      </c>
      <c r="E384" s="1">
        <v>91</v>
      </c>
      <c r="F384" s="1" t="s">
        <v>425</v>
      </c>
    </row>
    <row r="385" spans="1:6" x14ac:dyDescent="0.3">
      <c r="A385" s="1" t="s">
        <v>1654</v>
      </c>
      <c r="B385" s="13">
        <v>45069</v>
      </c>
      <c r="C385" s="1" t="s">
        <v>1227</v>
      </c>
      <c r="D385" s="1" t="s">
        <v>41</v>
      </c>
      <c r="E385" s="1">
        <v>26</v>
      </c>
      <c r="F385" s="1" t="s">
        <v>426</v>
      </c>
    </row>
    <row r="386" spans="1:6" x14ac:dyDescent="0.3">
      <c r="A386" s="1" t="s">
        <v>1655</v>
      </c>
      <c r="B386" s="13">
        <v>45069</v>
      </c>
      <c r="C386" s="1" t="s">
        <v>1251</v>
      </c>
      <c r="D386" s="1" t="s">
        <v>41</v>
      </c>
      <c r="E386" s="1">
        <v>63</v>
      </c>
      <c r="F386" s="1" t="s">
        <v>427</v>
      </c>
    </row>
    <row r="387" spans="1:6" x14ac:dyDescent="0.3">
      <c r="A387" s="1" t="s">
        <v>1656</v>
      </c>
      <c r="B387" s="13">
        <v>45069</v>
      </c>
      <c r="C387" s="1" t="s">
        <v>1204</v>
      </c>
      <c r="D387" s="1" t="s">
        <v>41</v>
      </c>
      <c r="E387" s="1">
        <v>50</v>
      </c>
      <c r="F387" s="1" t="s">
        <v>428</v>
      </c>
    </row>
    <row r="388" spans="1:6" x14ac:dyDescent="0.3">
      <c r="A388" s="1" t="s">
        <v>1657</v>
      </c>
      <c r="B388" s="13">
        <v>45070</v>
      </c>
      <c r="C388" s="1" t="s">
        <v>1148</v>
      </c>
      <c r="D388" s="1" t="s">
        <v>43</v>
      </c>
      <c r="E388" s="1">
        <v>93</v>
      </c>
      <c r="F388" s="1" t="s">
        <v>429</v>
      </c>
    </row>
    <row r="389" spans="1:6" x14ac:dyDescent="0.3">
      <c r="A389" s="1" t="s">
        <v>1658</v>
      </c>
      <c r="B389" s="13">
        <v>45071</v>
      </c>
      <c r="C389" s="1" t="s">
        <v>1231</v>
      </c>
      <c r="D389" s="1" t="s">
        <v>41</v>
      </c>
      <c r="E389" s="1">
        <v>88</v>
      </c>
      <c r="F389" s="1" t="s">
        <v>430</v>
      </c>
    </row>
    <row r="390" spans="1:6" x14ac:dyDescent="0.3">
      <c r="A390" s="1" t="s">
        <v>1659</v>
      </c>
      <c r="B390" s="13">
        <v>45071</v>
      </c>
      <c r="C390" s="1" t="s">
        <v>1251</v>
      </c>
      <c r="D390" s="1" t="s">
        <v>41</v>
      </c>
      <c r="E390" s="1">
        <v>54</v>
      </c>
      <c r="F390" s="1" t="s">
        <v>431</v>
      </c>
    </row>
    <row r="391" spans="1:6" x14ac:dyDescent="0.3">
      <c r="A391" s="1" t="s">
        <v>1660</v>
      </c>
      <c r="B391" s="13">
        <v>45071</v>
      </c>
      <c r="C391" s="1" t="s">
        <v>1095</v>
      </c>
      <c r="D391" s="1" t="s">
        <v>41</v>
      </c>
      <c r="E391" s="1">
        <v>86</v>
      </c>
      <c r="F391" s="1" t="s">
        <v>432</v>
      </c>
    </row>
    <row r="392" spans="1:6" x14ac:dyDescent="0.3">
      <c r="A392" s="1" t="s">
        <v>1661</v>
      </c>
      <c r="B392" s="13">
        <v>45072</v>
      </c>
      <c r="C392" s="1" t="s">
        <v>1197</v>
      </c>
      <c r="D392" s="1" t="s">
        <v>41</v>
      </c>
      <c r="E392" s="1">
        <v>48</v>
      </c>
      <c r="F392" s="1" t="s">
        <v>433</v>
      </c>
    </row>
    <row r="393" spans="1:6" x14ac:dyDescent="0.3">
      <c r="A393" s="1" t="s">
        <v>1662</v>
      </c>
      <c r="B393" s="13">
        <v>45072</v>
      </c>
      <c r="C393" s="1" t="s">
        <v>1254</v>
      </c>
      <c r="D393" s="1" t="s">
        <v>43</v>
      </c>
      <c r="E393" s="1">
        <v>89</v>
      </c>
      <c r="F393" s="1" t="s">
        <v>434</v>
      </c>
    </row>
    <row r="394" spans="1:6" x14ac:dyDescent="0.3">
      <c r="A394" s="1" t="s">
        <v>1663</v>
      </c>
      <c r="B394" s="13">
        <v>45073</v>
      </c>
      <c r="C394" s="1" t="s">
        <v>1151</v>
      </c>
      <c r="D394" s="1" t="s">
        <v>41</v>
      </c>
      <c r="E394" s="1">
        <v>97</v>
      </c>
      <c r="F394" s="1" t="s">
        <v>435</v>
      </c>
    </row>
    <row r="395" spans="1:6" x14ac:dyDescent="0.3">
      <c r="A395" s="1" t="s">
        <v>1664</v>
      </c>
      <c r="B395" s="13">
        <v>45073</v>
      </c>
      <c r="C395" s="1" t="s">
        <v>1222</v>
      </c>
      <c r="D395" s="1" t="s">
        <v>43</v>
      </c>
      <c r="E395" s="1">
        <v>84</v>
      </c>
      <c r="F395" s="1" t="s">
        <v>436</v>
      </c>
    </row>
    <row r="396" spans="1:6" x14ac:dyDescent="0.3">
      <c r="A396" s="1" t="s">
        <v>1665</v>
      </c>
      <c r="B396" s="13">
        <v>45073</v>
      </c>
      <c r="C396" s="1" t="s">
        <v>1108</v>
      </c>
      <c r="D396" s="1" t="s">
        <v>41</v>
      </c>
      <c r="E396" s="1">
        <v>69</v>
      </c>
      <c r="F396" s="1" t="s">
        <v>437</v>
      </c>
    </row>
    <row r="397" spans="1:6" x14ac:dyDescent="0.3">
      <c r="A397" s="1" t="s">
        <v>1666</v>
      </c>
      <c r="B397" s="13">
        <v>45073</v>
      </c>
      <c r="C397" s="1" t="s">
        <v>1168</v>
      </c>
      <c r="D397" s="1" t="s">
        <v>43</v>
      </c>
      <c r="E397" s="1">
        <v>80</v>
      </c>
      <c r="F397" s="1" t="s">
        <v>438</v>
      </c>
    </row>
    <row r="398" spans="1:6" x14ac:dyDescent="0.3">
      <c r="A398" s="1" t="s">
        <v>1667</v>
      </c>
      <c r="B398" s="13">
        <v>45074</v>
      </c>
      <c r="C398" s="1" t="s">
        <v>1090</v>
      </c>
      <c r="D398" s="1" t="s">
        <v>43</v>
      </c>
      <c r="E398" s="1">
        <v>22</v>
      </c>
      <c r="F398" s="1" t="s">
        <v>439</v>
      </c>
    </row>
    <row r="399" spans="1:6" x14ac:dyDescent="0.3">
      <c r="A399" s="1" t="s">
        <v>1668</v>
      </c>
      <c r="B399" s="13">
        <v>45074</v>
      </c>
      <c r="C399" s="1" t="s">
        <v>1134</v>
      </c>
      <c r="D399" s="1" t="s">
        <v>43</v>
      </c>
      <c r="E399" s="1">
        <v>28</v>
      </c>
      <c r="F399" s="1" t="s">
        <v>440</v>
      </c>
    </row>
    <row r="400" spans="1:6" x14ac:dyDescent="0.3">
      <c r="A400" s="1" t="s">
        <v>1669</v>
      </c>
      <c r="B400" s="13">
        <v>45074</v>
      </c>
      <c r="C400" s="1" t="s">
        <v>1173</v>
      </c>
      <c r="D400" s="1" t="s">
        <v>41</v>
      </c>
      <c r="E400" s="1">
        <v>23</v>
      </c>
      <c r="F400" s="1" t="s">
        <v>441</v>
      </c>
    </row>
    <row r="401" spans="1:6" x14ac:dyDescent="0.3">
      <c r="A401" s="1" t="s">
        <v>1670</v>
      </c>
      <c r="B401" s="13">
        <v>45074</v>
      </c>
      <c r="C401" s="1" t="s">
        <v>1087</v>
      </c>
      <c r="D401" s="1" t="s">
        <v>43</v>
      </c>
      <c r="E401" s="1">
        <v>26</v>
      </c>
      <c r="F401" s="1" t="s">
        <v>442</v>
      </c>
    </row>
    <row r="402" spans="1:6" x14ac:dyDescent="0.3">
      <c r="A402" s="1" t="s">
        <v>1671</v>
      </c>
      <c r="B402" s="13">
        <v>45074</v>
      </c>
      <c r="C402" s="1" t="s">
        <v>1097</v>
      </c>
      <c r="D402" s="1" t="s">
        <v>41</v>
      </c>
      <c r="E402" s="1">
        <v>85</v>
      </c>
      <c r="F402" s="1" t="s">
        <v>443</v>
      </c>
    </row>
    <row r="403" spans="1:6" x14ac:dyDescent="0.3">
      <c r="A403" s="1" t="s">
        <v>1672</v>
      </c>
      <c r="B403" s="13">
        <v>45075</v>
      </c>
      <c r="C403" s="1" t="s">
        <v>1193</v>
      </c>
      <c r="D403" s="1" t="s">
        <v>43</v>
      </c>
      <c r="E403" s="1">
        <v>55</v>
      </c>
      <c r="F403" s="1" t="s">
        <v>444</v>
      </c>
    </row>
    <row r="404" spans="1:6" x14ac:dyDescent="0.3">
      <c r="A404" s="1" t="s">
        <v>1673</v>
      </c>
      <c r="B404" s="13">
        <v>45075</v>
      </c>
      <c r="C404" s="1" t="s">
        <v>1102</v>
      </c>
      <c r="D404" s="1" t="s">
        <v>43</v>
      </c>
      <c r="E404" s="1">
        <v>1</v>
      </c>
      <c r="F404" s="1" t="s">
        <v>445</v>
      </c>
    </row>
    <row r="405" spans="1:6" x14ac:dyDescent="0.3">
      <c r="A405" s="1" t="s">
        <v>1674</v>
      </c>
      <c r="B405" s="13">
        <v>45075</v>
      </c>
      <c r="C405" s="1" t="s">
        <v>1235</v>
      </c>
      <c r="D405" s="1" t="s">
        <v>41</v>
      </c>
      <c r="E405" s="1">
        <v>29</v>
      </c>
      <c r="F405" s="1" t="s">
        <v>446</v>
      </c>
    </row>
    <row r="406" spans="1:6" x14ac:dyDescent="0.3">
      <c r="A406" s="1" t="s">
        <v>1675</v>
      </c>
      <c r="B406" s="13">
        <v>45076</v>
      </c>
      <c r="C406" s="1" t="s">
        <v>1260</v>
      </c>
      <c r="D406" s="1" t="s">
        <v>43</v>
      </c>
      <c r="E406" s="1">
        <v>47</v>
      </c>
      <c r="F406" s="1" t="s">
        <v>447</v>
      </c>
    </row>
    <row r="407" spans="1:6" x14ac:dyDescent="0.3">
      <c r="A407" s="1" t="s">
        <v>1676</v>
      </c>
      <c r="B407" s="13">
        <v>45076</v>
      </c>
      <c r="C407" s="1" t="s">
        <v>1228</v>
      </c>
      <c r="D407" s="1" t="s">
        <v>43</v>
      </c>
      <c r="E407" s="1">
        <v>42</v>
      </c>
      <c r="F407" s="1" t="s">
        <v>448</v>
      </c>
    </row>
    <row r="408" spans="1:6" x14ac:dyDescent="0.3">
      <c r="A408" s="1" t="s">
        <v>1677</v>
      </c>
      <c r="B408" s="13">
        <v>45076</v>
      </c>
      <c r="C408" s="1" t="s">
        <v>1168</v>
      </c>
      <c r="D408" s="1" t="s">
        <v>43</v>
      </c>
      <c r="E408" s="1">
        <v>97</v>
      </c>
      <c r="F408" s="1" t="s">
        <v>449</v>
      </c>
    </row>
    <row r="409" spans="1:6" x14ac:dyDescent="0.3">
      <c r="A409" s="1" t="s">
        <v>1678</v>
      </c>
      <c r="B409" s="13">
        <v>45077</v>
      </c>
      <c r="C409" s="1" t="s">
        <v>1258</v>
      </c>
      <c r="D409" s="1" t="s">
        <v>41</v>
      </c>
      <c r="E409" s="1">
        <v>90</v>
      </c>
      <c r="F409" s="1" t="s">
        <v>450</v>
      </c>
    </row>
    <row r="410" spans="1:6" x14ac:dyDescent="0.3">
      <c r="A410" s="1" t="s">
        <v>1679</v>
      </c>
      <c r="B410" s="13">
        <v>45078</v>
      </c>
      <c r="C410" s="1" t="s">
        <v>1242</v>
      </c>
      <c r="D410" s="1" t="s">
        <v>41</v>
      </c>
      <c r="E410" s="1">
        <v>81</v>
      </c>
      <c r="F410" s="1" t="s">
        <v>451</v>
      </c>
    </row>
    <row r="411" spans="1:6" x14ac:dyDescent="0.3">
      <c r="A411" s="1" t="s">
        <v>1680</v>
      </c>
      <c r="B411" s="13">
        <v>45078</v>
      </c>
      <c r="C411" s="1" t="s">
        <v>1265</v>
      </c>
      <c r="D411" s="1" t="s">
        <v>41</v>
      </c>
      <c r="E411" s="1">
        <v>60</v>
      </c>
      <c r="F411" s="1" t="s">
        <v>452</v>
      </c>
    </row>
    <row r="412" spans="1:6" x14ac:dyDescent="0.3">
      <c r="A412" s="1" t="s">
        <v>1681</v>
      </c>
      <c r="B412" s="13">
        <v>45078</v>
      </c>
      <c r="C412" s="1" t="s">
        <v>1229</v>
      </c>
      <c r="D412" s="1" t="s">
        <v>43</v>
      </c>
      <c r="E412" s="1">
        <v>45</v>
      </c>
      <c r="F412" s="1" t="s">
        <v>453</v>
      </c>
    </row>
    <row r="413" spans="1:6" x14ac:dyDescent="0.3">
      <c r="A413" s="1" t="s">
        <v>1682</v>
      </c>
      <c r="B413" s="13">
        <v>45078</v>
      </c>
      <c r="C413" s="1" t="s">
        <v>1161</v>
      </c>
      <c r="D413" s="1" t="s">
        <v>43</v>
      </c>
      <c r="E413" s="1">
        <v>92</v>
      </c>
      <c r="F413" s="1" t="s">
        <v>454</v>
      </c>
    </row>
    <row r="414" spans="1:6" x14ac:dyDescent="0.3">
      <c r="A414" s="1" t="s">
        <v>1683</v>
      </c>
      <c r="B414" s="13">
        <v>45078</v>
      </c>
      <c r="C414" s="1" t="s">
        <v>1110</v>
      </c>
      <c r="D414" s="1" t="s">
        <v>43</v>
      </c>
      <c r="E414" s="1">
        <v>76</v>
      </c>
      <c r="F414" s="1" t="s">
        <v>455</v>
      </c>
    </row>
    <row r="415" spans="1:6" x14ac:dyDescent="0.3">
      <c r="A415" s="1" t="s">
        <v>1684</v>
      </c>
      <c r="B415" s="13">
        <v>45079</v>
      </c>
      <c r="C415" s="1" t="s">
        <v>1224</v>
      </c>
      <c r="D415" s="1" t="s">
        <v>41</v>
      </c>
      <c r="E415" s="1">
        <v>80</v>
      </c>
      <c r="F415" s="1" t="s">
        <v>456</v>
      </c>
    </row>
    <row r="416" spans="1:6" x14ac:dyDescent="0.3">
      <c r="A416" s="1" t="s">
        <v>1685</v>
      </c>
      <c r="B416" s="13">
        <v>45079</v>
      </c>
      <c r="C416" s="1" t="s">
        <v>1155</v>
      </c>
      <c r="D416" s="1" t="s">
        <v>43</v>
      </c>
      <c r="E416" s="1">
        <v>21</v>
      </c>
      <c r="F416" s="1" t="s">
        <v>457</v>
      </c>
    </row>
    <row r="417" spans="1:6" x14ac:dyDescent="0.3">
      <c r="A417" s="1" t="s">
        <v>1686</v>
      </c>
      <c r="B417" s="13">
        <v>45079</v>
      </c>
      <c r="C417" s="1" t="s">
        <v>1230</v>
      </c>
      <c r="D417" s="1" t="s">
        <v>43</v>
      </c>
      <c r="E417" s="1">
        <v>84</v>
      </c>
      <c r="F417" s="1" t="s">
        <v>458</v>
      </c>
    </row>
    <row r="418" spans="1:6" x14ac:dyDescent="0.3">
      <c r="A418" s="1" t="s">
        <v>1687</v>
      </c>
      <c r="B418" s="13">
        <v>45079</v>
      </c>
      <c r="C418" s="1" t="s">
        <v>1229</v>
      </c>
      <c r="D418" s="1" t="s">
        <v>43</v>
      </c>
      <c r="E418" s="1">
        <v>58</v>
      </c>
      <c r="F418" s="1" t="s">
        <v>459</v>
      </c>
    </row>
    <row r="419" spans="1:6" x14ac:dyDescent="0.3">
      <c r="A419" s="1" t="s">
        <v>1688</v>
      </c>
      <c r="B419" s="13">
        <v>45079</v>
      </c>
      <c r="C419" s="1" t="s">
        <v>1235</v>
      </c>
      <c r="D419" s="1" t="s">
        <v>43</v>
      </c>
      <c r="E419" s="1">
        <v>34</v>
      </c>
      <c r="F419" s="1" t="s">
        <v>460</v>
      </c>
    </row>
    <row r="420" spans="1:6" x14ac:dyDescent="0.3">
      <c r="A420" s="1" t="s">
        <v>1689</v>
      </c>
      <c r="B420" s="13">
        <v>45080</v>
      </c>
      <c r="C420" s="1" t="s">
        <v>1254</v>
      </c>
      <c r="D420" s="1" t="s">
        <v>41</v>
      </c>
      <c r="E420" s="1">
        <v>54</v>
      </c>
      <c r="F420" s="1" t="s">
        <v>461</v>
      </c>
    </row>
    <row r="421" spans="1:6" x14ac:dyDescent="0.3">
      <c r="A421" s="1" t="s">
        <v>1690</v>
      </c>
      <c r="B421" s="13">
        <v>45080</v>
      </c>
      <c r="C421" s="1" t="s">
        <v>1087</v>
      </c>
      <c r="D421" s="1" t="s">
        <v>41</v>
      </c>
      <c r="E421" s="1">
        <v>17</v>
      </c>
      <c r="F421" s="1" t="s">
        <v>462</v>
      </c>
    </row>
    <row r="422" spans="1:6" x14ac:dyDescent="0.3">
      <c r="A422" s="1" t="s">
        <v>1691</v>
      </c>
      <c r="B422" s="13">
        <v>45080</v>
      </c>
      <c r="C422" s="1" t="s">
        <v>1129</v>
      </c>
      <c r="D422" s="1" t="s">
        <v>43</v>
      </c>
      <c r="E422" s="1">
        <v>84</v>
      </c>
      <c r="F422" s="1" t="s">
        <v>463</v>
      </c>
    </row>
    <row r="423" spans="1:6" x14ac:dyDescent="0.3">
      <c r="A423" s="1" t="s">
        <v>1692</v>
      </c>
      <c r="B423" s="13">
        <v>45080</v>
      </c>
      <c r="C423" s="1" t="s">
        <v>1180</v>
      </c>
      <c r="D423" s="1" t="s">
        <v>43</v>
      </c>
      <c r="E423" s="1">
        <v>73</v>
      </c>
      <c r="F423" s="1" t="s">
        <v>464</v>
      </c>
    </row>
    <row r="424" spans="1:6" x14ac:dyDescent="0.3">
      <c r="A424" s="1" t="s">
        <v>1693</v>
      </c>
      <c r="B424" s="13">
        <v>45080</v>
      </c>
      <c r="C424" s="1" t="s">
        <v>1233</v>
      </c>
      <c r="D424" s="1" t="s">
        <v>41</v>
      </c>
      <c r="E424" s="1">
        <v>96</v>
      </c>
      <c r="F424" s="1" t="s">
        <v>465</v>
      </c>
    </row>
    <row r="425" spans="1:6" x14ac:dyDescent="0.3">
      <c r="A425" s="1" t="s">
        <v>1694</v>
      </c>
      <c r="B425" s="13">
        <v>45081</v>
      </c>
      <c r="C425" s="1" t="s">
        <v>1223</v>
      </c>
      <c r="D425" s="1" t="s">
        <v>41</v>
      </c>
      <c r="E425" s="1">
        <v>56</v>
      </c>
      <c r="F425" s="1" t="s">
        <v>466</v>
      </c>
    </row>
    <row r="426" spans="1:6" x14ac:dyDescent="0.3">
      <c r="A426" s="1" t="s">
        <v>1695</v>
      </c>
      <c r="B426" s="13">
        <v>45081</v>
      </c>
      <c r="C426" s="1" t="s">
        <v>1236</v>
      </c>
      <c r="D426" s="1" t="s">
        <v>41</v>
      </c>
      <c r="E426" s="1">
        <v>60</v>
      </c>
      <c r="F426" s="1" t="s">
        <v>467</v>
      </c>
    </row>
    <row r="427" spans="1:6" x14ac:dyDescent="0.3">
      <c r="A427" s="1" t="s">
        <v>1696</v>
      </c>
      <c r="B427" s="13">
        <v>45082</v>
      </c>
      <c r="C427" s="1" t="s">
        <v>1263</v>
      </c>
      <c r="D427" s="1" t="s">
        <v>41</v>
      </c>
      <c r="E427" s="1">
        <v>41</v>
      </c>
      <c r="F427" s="1" t="s">
        <v>468</v>
      </c>
    </row>
    <row r="428" spans="1:6" x14ac:dyDescent="0.3">
      <c r="A428" s="1" t="s">
        <v>1697</v>
      </c>
      <c r="B428" s="13">
        <v>45083</v>
      </c>
      <c r="C428" s="1" t="s">
        <v>1126</v>
      </c>
      <c r="D428" s="1" t="s">
        <v>43</v>
      </c>
      <c r="E428" s="1">
        <v>45</v>
      </c>
      <c r="F428" s="1" t="s">
        <v>469</v>
      </c>
    </row>
    <row r="429" spans="1:6" x14ac:dyDescent="0.3">
      <c r="A429" s="1" t="s">
        <v>1698</v>
      </c>
      <c r="B429" s="13">
        <v>45083</v>
      </c>
      <c r="C429" s="1" t="s">
        <v>1165</v>
      </c>
      <c r="D429" s="1" t="s">
        <v>41</v>
      </c>
      <c r="E429" s="1">
        <v>48</v>
      </c>
      <c r="F429" s="1" t="s">
        <v>470</v>
      </c>
    </row>
    <row r="430" spans="1:6" x14ac:dyDescent="0.3">
      <c r="A430" s="1" t="s">
        <v>1699</v>
      </c>
      <c r="B430" s="13">
        <v>45083</v>
      </c>
      <c r="C430" s="1" t="s">
        <v>1089</v>
      </c>
      <c r="D430" s="1" t="s">
        <v>41</v>
      </c>
      <c r="E430" s="1">
        <v>21</v>
      </c>
      <c r="F430" s="1" t="s">
        <v>471</v>
      </c>
    </row>
    <row r="431" spans="1:6" x14ac:dyDescent="0.3">
      <c r="A431" s="1" t="s">
        <v>1700</v>
      </c>
      <c r="B431" s="13">
        <v>45083</v>
      </c>
      <c r="C431" s="1" t="s">
        <v>1266</v>
      </c>
      <c r="D431" s="1" t="s">
        <v>43</v>
      </c>
      <c r="E431" s="1">
        <v>65</v>
      </c>
      <c r="F431" s="1" t="s">
        <v>472</v>
      </c>
    </row>
    <row r="432" spans="1:6" x14ac:dyDescent="0.3">
      <c r="A432" s="1" t="s">
        <v>1701</v>
      </c>
      <c r="B432" s="13">
        <v>45083</v>
      </c>
      <c r="C432" s="1" t="s">
        <v>1202</v>
      </c>
      <c r="D432" s="1" t="s">
        <v>41</v>
      </c>
      <c r="E432" s="1">
        <v>14</v>
      </c>
      <c r="F432" s="1" t="s">
        <v>473</v>
      </c>
    </row>
    <row r="433" spans="1:6" x14ac:dyDescent="0.3">
      <c r="A433" s="1" t="s">
        <v>1702</v>
      </c>
      <c r="B433" s="13">
        <v>45084</v>
      </c>
      <c r="C433" s="1" t="s">
        <v>1248</v>
      </c>
      <c r="D433" s="1" t="s">
        <v>43</v>
      </c>
      <c r="E433" s="1">
        <v>47</v>
      </c>
      <c r="F433" s="1" t="s">
        <v>474</v>
      </c>
    </row>
    <row r="434" spans="1:6" x14ac:dyDescent="0.3">
      <c r="A434" s="1" t="s">
        <v>1703</v>
      </c>
      <c r="B434" s="13">
        <v>45084</v>
      </c>
      <c r="C434" s="1" t="s">
        <v>1225</v>
      </c>
      <c r="D434" s="1" t="s">
        <v>43</v>
      </c>
      <c r="E434" s="1">
        <v>71</v>
      </c>
      <c r="F434" s="1" t="s">
        <v>475</v>
      </c>
    </row>
    <row r="435" spans="1:6" x14ac:dyDescent="0.3">
      <c r="A435" s="1" t="s">
        <v>1704</v>
      </c>
      <c r="B435" s="13">
        <v>45084</v>
      </c>
      <c r="C435" s="1" t="s">
        <v>1248</v>
      </c>
      <c r="D435" s="1" t="s">
        <v>41</v>
      </c>
      <c r="E435" s="1">
        <v>64</v>
      </c>
      <c r="F435" s="1" t="s">
        <v>476</v>
      </c>
    </row>
    <row r="436" spans="1:6" x14ac:dyDescent="0.3">
      <c r="A436" s="1" t="s">
        <v>1705</v>
      </c>
      <c r="B436" s="13">
        <v>45084</v>
      </c>
      <c r="C436" s="1" t="s">
        <v>1138</v>
      </c>
      <c r="D436" s="1" t="s">
        <v>41</v>
      </c>
      <c r="E436" s="1">
        <v>74</v>
      </c>
      <c r="F436" s="1" t="s">
        <v>477</v>
      </c>
    </row>
    <row r="437" spans="1:6" x14ac:dyDescent="0.3">
      <c r="A437" s="1" t="s">
        <v>1706</v>
      </c>
      <c r="B437" s="13">
        <v>45085</v>
      </c>
      <c r="C437" s="1" t="s">
        <v>1104</v>
      </c>
      <c r="D437" s="1" t="s">
        <v>41</v>
      </c>
      <c r="E437" s="1">
        <v>51</v>
      </c>
      <c r="F437" s="1" t="s">
        <v>478</v>
      </c>
    </row>
    <row r="438" spans="1:6" x14ac:dyDescent="0.3">
      <c r="A438" s="1" t="s">
        <v>1707</v>
      </c>
      <c r="B438" s="13">
        <v>45085</v>
      </c>
      <c r="C438" s="1" t="s">
        <v>1095</v>
      </c>
      <c r="D438" s="1" t="s">
        <v>41</v>
      </c>
      <c r="E438" s="1">
        <v>89</v>
      </c>
      <c r="F438" s="1" t="s">
        <v>479</v>
      </c>
    </row>
    <row r="439" spans="1:6" x14ac:dyDescent="0.3">
      <c r="A439" s="1" t="s">
        <v>1708</v>
      </c>
      <c r="B439" s="13">
        <v>45085</v>
      </c>
      <c r="C439" s="1" t="s">
        <v>1266</v>
      </c>
      <c r="D439" s="1" t="s">
        <v>43</v>
      </c>
      <c r="E439" s="1">
        <v>11</v>
      </c>
      <c r="F439" s="1" t="s">
        <v>480</v>
      </c>
    </row>
    <row r="440" spans="1:6" x14ac:dyDescent="0.3">
      <c r="A440" s="1" t="s">
        <v>1709</v>
      </c>
      <c r="B440" s="13">
        <v>45086</v>
      </c>
      <c r="C440" s="1" t="s">
        <v>1142</v>
      </c>
      <c r="D440" s="1" t="s">
        <v>43</v>
      </c>
      <c r="E440" s="1">
        <v>98</v>
      </c>
      <c r="F440" s="1" t="s">
        <v>481</v>
      </c>
    </row>
    <row r="441" spans="1:6" x14ac:dyDescent="0.3">
      <c r="A441" s="1" t="s">
        <v>1710</v>
      </c>
      <c r="B441" s="13">
        <v>45086</v>
      </c>
      <c r="C441" s="1" t="s">
        <v>1161</v>
      </c>
      <c r="D441" s="1" t="s">
        <v>43</v>
      </c>
      <c r="E441" s="1">
        <v>50</v>
      </c>
      <c r="F441" s="1" t="s">
        <v>482</v>
      </c>
    </row>
    <row r="442" spans="1:6" x14ac:dyDescent="0.3">
      <c r="A442" s="1" t="s">
        <v>1711</v>
      </c>
      <c r="B442" s="13">
        <v>45086</v>
      </c>
      <c r="C442" s="1" t="s">
        <v>1240</v>
      </c>
      <c r="D442" s="1" t="s">
        <v>43</v>
      </c>
      <c r="E442" s="1">
        <v>24</v>
      </c>
      <c r="F442" s="1" t="s">
        <v>483</v>
      </c>
    </row>
    <row r="443" spans="1:6" x14ac:dyDescent="0.3">
      <c r="A443" s="1" t="s">
        <v>1712</v>
      </c>
      <c r="B443" s="13">
        <v>45087</v>
      </c>
      <c r="C443" s="1" t="s">
        <v>1193</v>
      </c>
      <c r="D443" s="1" t="s">
        <v>43</v>
      </c>
      <c r="E443" s="1">
        <v>64</v>
      </c>
      <c r="F443" s="1" t="s">
        <v>484</v>
      </c>
    </row>
    <row r="444" spans="1:6" x14ac:dyDescent="0.3">
      <c r="A444" s="1" t="s">
        <v>1713</v>
      </c>
      <c r="B444" s="13">
        <v>45087</v>
      </c>
      <c r="C444" s="1" t="s">
        <v>1214</v>
      </c>
      <c r="D444" s="1" t="s">
        <v>43</v>
      </c>
      <c r="E444" s="1">
        <v>34</v>
      </c>
      <c r="F444" s="1" t="s">
        <v>485</v>
      </c>
    </row>
    <row r="445" spans="1:6" x14ac:dyDescent="0.3">
      <c r="A445" s="1" t="s">
        <v>1714</v>
      </c>
      <c r="B445" s="13">
        <v>45087</v>
      </c>
      <c r="C445" s="1" t="s">
        <v>1176</v>
      </c>
      <c r="D445" s="1" t="s">
        <v>43</v>
      </c>
      <c r="E445" s="1">
        <v>26</v>
      </c>
      <c r="F445" s="1" t="s">
        <v>486</v>
      </c>
    </row>
    <row r="446" spans="1:6" x14ac:dyDescent="0.3">
      <c r="A446" s="1" t="s">
        <v>1715</v>
      </c>
      <c r="B446" s="13">
        <v>45087</v>
      </c>
      <c r="C446" s="1" t="s">
        <v>1150</v>
      </c>
      <c r="D446" s="1" t="s">
        <v>43</v>
      </c>
      <c r="E446" s="1">
        <v>72</v>
      </c>
      <c r="F446" s="1" t="s">
        <v>487</v>
      </c>
    </row>
    <row r="447" spans="1:6" x14ac:dyDescent="0.3">
      <c r="A447" s="1" t="s">
        <v>1716</v>
      </c>
      <c r="B447" s="13">
        <v>45087</v>
      </c>
      <c r="C447" s="1" t="s">
        <v>1228</v>
      </c>
      <c r="D447" s="1" t="s">
        <v>43</v>
      </c>
      <c r="E447" s="1">
        <v>89</v>
      </c>
      <c r="F447" s="1" t="s">
        <v>488</v>
      </c>
    </row>
    <row r="448" spans="1:6" x14ac:dyDescent="0.3">
      <c r="A448" s="1" t="s">
        <v>1717</v>
      </c>
      <c r="B448" s="13">
        <v>45088</v>
      </c>
      <c r="C448" s="1" t="s">
        <v>1187</v>
      </c>
      <c r="D448" s="1" t="s">
        <v>41</v>
      </c>
      <c r="E448" s="1">
        <v>83</v>
      </c>
      <c r="F448" s="1" t="s">
        <v>489</v>
      </c>
    </row>
    <row r="449" spans="1:6" x14ac:dyDescent="0.3">
      <c r="A449" s="1" t="s">
        <v>1718</v>
      </c>
      <c r="B449" s="13">
        <v>45088</v>
      </c>
      <c r="C449" s="1" t="s">
        <v>1210</v>
      </c>
      <c r="D449" s="1" t="s">
        <v>41</v>
      </c>
      <c r="E449" s="1">
        <v>13</v>
      </c>
      <c r="F449" s="1" t="s">
        <v>490</v>
      </c>
    </row>
    <row r="450" spans="1:6" x14ac:dyDescent="0.3">
      <c r="A450" s="1" t="s">
        <v>1719</v>
      </c>
      <c r="B450" s="13">
        <v>45089</v>
      </c>
      <c r="C450" s="1" t="s">
        <v>1183</v>
      </c>
      <c r="D450" s="1" t="s">
        <v>41</v>
      </c>
      <c r="E450" s="1">
        <v>15</v>
      </c>
      <c r="F450" s="1" t="s">
        <v>491</v>
      </c>
    </row>
    <row r="451" spans="1:6" x14ac:dyDescent="0.3">
      <c r="A451" s="1" t="s">
        <v>1720</v>
      </c>
      <c r="B451" s="13">
        <v>45089</v>
      </c>
      <c r="C451" s="1" t="s">
        <v>1228</v>
      </c>
      <c r="D451" s="1" t="s">
        <v>43</v>
      </c>
      <c r="E451" s="1">
        <v>56</v>
      </c>
      <c r="F451" s="1" t="s">
        <v>492</v>
      </c>
    </row>
    <row r="452" spans="1:6" x14ac:dyDescent="0.3">
      <c r="A452" s="1" t="s">
        <v>1721</v>
      </c>
      <c r="B452" s="13">
        <v>45090</v>
      </c>
      <c r="C452" s="1" t="s">
        <v>1136</v>
      </c>
      <c r="D452" s="1" t="s">
        <v>41</v>
      </c>
      <c r="E452" s="1">
        <v>18</v>
      </c>
      <c r="F452" s="1" t="s">
        <v>493</v>
      </c>
    </row>
    <row r="453" spans="1:6" x14ac:dyDescent="0.3">
      <c r="A453" s="1" t="s">
        <v>1722</v>
      </c>
      <c r="B453" s="13">
        <v>45090</v>
      </c>
      <c r="C453" s="1" t="s">
        <v>1153</v>
      </c>
      <c r="D453" s="1" t="s">
        <v>43</v>
      </c>
      <c r="E453" s="1">
        <v>32</v>
      </c>
      <c r="F453" s="1" t="s">
        <v>494</v>
      </c>
    </row>
    <row r="454" spans="1:6" x14ac:dyDescent="0.3">
      <c r="A454" s="1" t="s">
        <v>1723</v>
      </c>
      <c r="B454" s="13">
        <v>45091</v>
      </c>
      <c r="C454" s="1" t="s">
        <v>1177</v>
      </c>
      <c r="D454" s="1" t="s">
        <v>43</v>
      </c>
      <c r="E454" s="1">
        <v>91</v>
      </c>
      <c r="F454" s="1" t="s">
        <v>495</v>
      </c>
    </row>
    <row r="455" spans="1:6" x14ac:dyDescent="0.3">
      <c r="A455" s="1" t="s">
        <v>1724</v>
      </c>
      <c r="B455" s="13">
        <v>45091</v>
      </c>
      <c r="C455" s="1" t="s">
        <v>1226</v>
      </c>
      <c r="D455" s="1" t="s">
        <v>41</v>
      </c>
      <c r="E455" s="1">
        <v>92</v>
      </c>
      <c r="F455" s="1" t="s">
        <v>496</v>
      </c>
    </row>
    <row r="456" spans="1:6" x14ac:dyDescent="0.3">
      <c r="A456" s="1" t="s">
        <v>1725</v>
      </c>
      <c r="B456" s="13">
        <v>45091</v>
      </c>
      <c r="C456" s="1" t="s">
        <v>1110</v>
      </c>
      <c r="D456" s="1" t="s">
        <v>43</v>
      </c>
      <c r="E456" s="1">
        <v>42</v>
      </c>
      <c r="F456" s="1" t="s">
        <v>497</v>
      </c>
    </row>
    <row r="457" spans="1:6" x14ac:dyDescent="0.3">
      <c r="A457" s="1" t="s">
        <v>1726</v>
      </c>
      <c r="B457" s="13">
        <v>45092</v>
      </c>
      <c r="C457" s="1" t="s">
        <v>1123</v>
      </c>
      <c r="D457" s="1" t="s">
        <v>41</v>
      </c>
      <c r="E457" s="1">
        <v>75</v>
      </c>
      <c r="F457" s="1" t="s">
        <v>498</v>
      </c>
    </row>
    <row r="458" spans="1:6" x14ac:dyDescent="0.3">
      <c r="A458" s="1" t="s">
        <v>1727</v>
      </c>
      <c r="B458" s="13">
        <v>45092</v>
      </c>
      <c r="C458" s="1" t="s">
        <v>1156</v>
      </c>
      <c r="D458" s="1" t="s">
        <v>41</v>
      </c>
      <c r="E458" s="1">
        <v>76</v>
      </c>
      <c r="F458" s="1" t="s">
        <v>499</v>
      </c>
    </row>
    <row r="459" spans="1:6" x14ac:dyDescent="0.3">
      <c r="A459" s="1" t="s">
        <v>1728</v>
      </c>
      <c r="B459" s="13">
        <v>45092</v>
      </c>
      <c r="C459" s="1" t="s">
        <v>1120</v>
      </c>
      <c r="D459" s="1" t="s">
        <v>41</v>
      </c>
      <c r="E459" s="1">
        <v>86</v>
      </c>
      <c r="F459" s="1" t="s">
        <v>500</v>
      </c>
    </row>
    <row r="460" spans="1:6" x14ac:dyDescent="0.3">
      <c r="A460" s="1" t="s">
        <v>1729</v>
      </c>
      <c r="B460" s="13">
        <v>45092</v>
      </c>
      <c r="C460" s="1" t="s">
        <v>1156</v>
      </c>
      <c r="D460" s="1" t="s">
        <v>43</v>
      </c>
      <c r="E460" s="1">
        <v>90</v>
      </c>
      <c r="F460" s="1" t="s">
        <v>501</v>
      </c>
    </row>
    <row r="461" spans="1:6" x14ac:dyDescent="0.3">
      <c r="A461" s="1" t="s">
        <v>1730</v>
      </c>
      <c r="B461" s="13">
        <v>45094</v>
      </c>
      <c r="C461" s="1" t="s">
        <v>1251</v>
      </c>
      <c r="D461" s="1" t="s">
        <v>43</v>
      </c>
      <c r="E461" s="1">
        <v>20</v>
      </c>
      <c r="F461" s="1" t="s">
        <v>502</v>
      </c>
    </row>
    <row r="462" spans="1:6" x14ac:dyDescent="0.3">
      <c r="A462" s="1" t="s">
        <v>1731</v>
      </c>
      <c r="B462" s="13">
        <v>45094</v>
      </c>
      <c r="C462" s="1" t="s">
        <v>1183</v>
      </c>
      <c r="D462" s="1" t="s">
        <v>41</v>
      </c>
      <c r="E462" s="1">
        <v>17</v>
      </c>
      <c r="F462" s="1" t="s">
        <v>503</v>
      </c>
    </row>
    <row r="463" spans="1:6" x14ac:dyDescent="0.3">
      <c r="A463" s="1" t="s">
        <v>1732</v>
      </c>
      <c r="B463" s="13">
        <v>45094</v>
      </c>
      <c r="C463" s="1" t="s">
        <v>1185</v>
      </c>
      <c r="D463" s="1" t="s">
        <v>43</v>
      </c>
      <c r="E463" s="1">
        <v>49</v>
      </c>
      <c r="F463" s="1" t="s">
        <v>504</v>
      </c>
    </row>
    <row r="464" spans="1:6" x14ac:dyDescent="0.3">
      <c r="A464" s="1" t="s">
        <v>1733</v>
      </c>
      <c r="B464" s="13">
        <v>45095</v>
      </c>
      <c r="C464" s="1" t="s">
        <v>1186</v>
      </c>
      <c r="D464" s="1" t="s">
        <v>41</v>
      </c>
      <c r="E464" s="1">
        <v>20</v>
      </c>
      <c r="F464" s="1" t="s">
        <v>505</v>
      </c>
    </row>
    <row r="465" spans="1:6" x14ac:dyDescent="0.3">
      <c r="A465" s="1" t="s">
        <v>1734</v>
      </c>
      <c r="B465" s="13">
        <v>45096</v>
      </c>
      <c r="C465" s="1" t="s">
        <v>1180</v>
      </c>
      <c r="D465" s="1" t="s">
        <v>41</v>
      </c>
      <c r="E465" s="1">
        <v>99</v>
      </c>
      <c r="F465" s="1" t="s">
        <v>506</v>
      </c>
    </row>
    <row r="466" spans="1:6" x14ac:dyDescent="0.3">
      <c r="A466" s="1" t="s">
        <v>1735</v>
      </c>
      <c r="B466" s="13">
        <v>45096</v>
      </c>
      <c r="C466" s="1" t="s">
        <v>1229</v>
      </c>
      <c r="D466" s="1" t="s">
        <v>43</v>
      </c>
      <c r="E466" s="1">
        <v>51</v>
      </c>
      <c r="F466" s="1" t="s">
        <v>507</v>
      </c>
    </row>
    <row r="467" spans="1:6" x14ac:dyDescent="0.3">
      <c r="A467" s="1" t="s">
        <v>1736</v>
      </c>
      <c r="B467" s="13">
        <v>45096</v>
      </c>
      <c r="C467" s="1" t="s">
        <v>1168</v>
      </c>
      <c r="D467" s="1" t="s">
        <v>41</v>
      </c>
      <c r="E467" s="1">
        <v>25</v>
      </c>
      <c r="F467" s="1" t="s">
        <v>508</v>
      </c>
    </row>
    <row r="468" spans="1:6" x14ac:dyDescent="0.3">
      <c r="A468" s="1" t="s">
        <v>1737</v>
      </c>
      <c r="B468" s="13">
        <v>45097</v>
      </c>
      <c r="C468" s="1" t="s">
        <v>1260</v>
      </c>
      <c r="D468" s="1" t="s">
        <v>41</v>
      </c>
      <c r="E468" s="1">
        <v>63</v>
      </c>
      <c r="F468" s="1" t="s">
        <v>509</v>
      </c>
    </row>
    <row r="469" spans="1:6" x14ac:dyDescent="0.3">
      <c r="A469" s="1" t="s">
        <v>1738</v>
      </c>
      <c r="B469" s="13">
        <v>45097</v>
      </c>
      <c r="C469" s="1" t="s">
        <v>1231</v>
      </c>
      <c r="D469" s="1" t="s">
        <v>41</v>
      </c>
      <c r="E469" s="1">
        <v>50</v>
      </c>
      <c r="F469" s="1" t="s">
        <v>510</v>
      </c>
    </row>
    <row r="470" spans="1:6" x14ac:dyDescent="0.3">
      <c r="A470" s="1" t="s">
        <v>1739</v>
      </c>
      <c r="B470" s="13">
        <v>45098</v>
      </c>
      <c r="C470" s="1" t="s">
        <v>1159</v>
      </c>
      <c r="D470" s="1" t="s">
        <v>43</v>
      </c>
      <c r="E470" s="1">
        <v>91</v>
      </c>
      <c r="F470" s="1" t="s">
        <v>511</v>
      </c>
    </row>
    <row r="471" spans="1:6" x14ac:dyDescent="0.3">
      <c r="A471" s="1" t="s">
        <v>1740</v>
      </c>
      <c r="B471" s="13">
        <v>45098</v>
      </c>
      <c r="C471" s="1" t="s">
        <v>1102</v>
      </c>
      <c r="D471" s="1" t="s">
        <v>41</v>
      </c>
      <c r="E471" s="1">
        <v>1</v>
      </c>
      <c r="F471" s="1" t="s">
        <v>512</v>
      </c>
    </row>
    <row r="472" spans="1:6" x14ac:dyDescent="0.3">
      <c r="A472" s="1" t="s">
        <v>1741</v>
      </c>
      <c r="B472" s="13">
        <v>45099</v>
      </c>
      <c r="C472" s="1" t="s">
        <v>1228</v>
      </c>
      <c r="D472" s="1" t="s">
        <v>43</v>
      </c>
      <c r="E472" s="1">
        <v>29</v>
      </c>
      <c r="F472" s="1" t="s">
        <v>513</v>
      </c>
    </row>
    <row r="473" spans="1:6" x14ac:dyDescent="0.3">
      <c r="A473" s="1" t="s">
        <v>1742</v>
      </c>
      <c r="B473" s="13">
        <v>45099</v>
      </c>
      <c r="C473" s="1" t="s">
        <v>1150</v>
      </c>
      <c r="D473" s="1" t="s">
        <v>43</v>
      </c>
      <c r="E473" s="1">
        <v>89</v>
      </c>
      <c r="F473" s="1" t="s">
        <v>514</v>
      </c>
    </row>
    <row r="474" spans="1:6" x14ac:dyDescent="0.3">
      <c r="A474" s="1" t="s">
        <v>1743</v>
      </c>
      <c r="B474" s="13">
        <v>45099</v>
      </c>
      <c r="C474" s="1" t="s">
        <v>1093</v>
      </c>
      <c r="D474" s="1" t="s">
        <v>41</v>
      </c>
      <c r="E474" s="1">
        <v>65</v>
      </c>
      <c r="F474" s="1" t="s">
        <v>515</v>
      </c>
    </row>
    <row r="475" spans="1:6" x14ac:dyDescent="0.3">
      <c r="A475" s="1" t="s">
        <v>1744</v>
      </c>
      <c r="B475" s="13">
        <v>45099</v>
      </c>
      <c r="C475" s="1" t="s">
        <v>1115</v>
      </c>
      <c r="D475" s="1" t="s">
        <v>43</v>
      </c>
      <c r="E475" s="1">
        <v>40</v>
      </c>
      <c r="F475" s="1" t="s">
        <v>516</v>
      </c>
    </row>
    <row r="476" spans="1:6" x14ac:dyDescent="0.3">
      <c r="A476" s="1" t="s">
        <v>1745</v>
      </c>
      <c r="B476" s="13">
        <v>45100</v>
      </c>
      <c r="C476" s="1" t="s">
        <v>1231</v>
      </c>
      <c r="D476" s="1" t="s">
        <v>41</v>
      </c>
      <c r="E476" s="1">
        <v>99</v>
      </c>
      <c r="F476" s="1" t="s">
        <v>517</v>
      </c>
    </row>
    <row r="477" spans="1:6" x14ac:dyDescent="0.3">
      <c r="A477" s="1" t="s">
        <v>1746</v>
      </c>
      <c r="B477" s="13">
        <v>45100</v>
      </c>
      <c r="C477" s="1" t="s">
        <v>1110</v>
      </c>
      <c r="D477" s="1" t="s">
        <v>43</v>
      </c>
      <c r="E477" s="1">
        <v>56</v>
      </c>
      <c r="F477" s="1" t="s">
        <v>518</v>
      </c>
    </row>
    <row r="478" spans="1:6" x14ac:dyDescent="0.3">
      <c r="A478" s="1" t="s">
        <v>1747</v>
      </c>
      <c r="B478" s="13">
        <v>45101</v>
      </c>
      <c r="C478" s="1" t="s">
        <v>1230</v>
      </c>
      <c r="D478" s="1" t="s">
        <v>43</v>
      </c>
      <c r="E478" s="1">
        <v>37</v>
      </c>
      <c r="F478" s="1" t="s">
        <v>519</v>
      </c>
    </row>
    <row r="479" spans="1:6" x14ac:dyDescent="0.3">
      <c r="A479" s="1" t="s">
        <v>1748</v>
      </c>
      <c r="B479" s="13">
        <v>45101</v>
      </c>
      <c r="C479" s="1" t="s">
        <v>1186</v>
      </c>
      <c r="D479" s="1" t="s">
        <v>43</v>
      </c>
      <c r="E479" s="1">
        <v>31</v>
      </c>
      <c r="F479" s="1" t="s">
        <v>520</v>
      </c>
    </row>
    <row r="480" spans="1:6" x14ac:dyDescent="0.3">
      <c r="A480" s="1" t="s">
        <v>1749</v>
      </c>
      <c r="B480" s="13">
        <v>45101</v>
      </c>
      <c r="C480" s="1" t="s">
        <v>1090</v>
      </c>
      <c r="D480" s="1" t="s">
        <v>41</v>
      </c>
      <c r="E480" s="1">
        <v>81</v>
      </c>
      <c r="F480" s="1" t="s">
        <v>521</v>
      </c>
    </row>
    <row r="481" spans="1:6" x14ac:dyDescent="0.3">
      <c r="A481" s="1" t="s">
        <v>1750</v>
      </c>
      <c r="B481" s="13">
        <v>45102</v>
      </c>
      <c r="C481" s="1" t="s">
        <v>1176</v>
      </c>
      <c r="D481" s="1" t="s">
        <v>43</v>
      </c>
      <c r="E481" s="1">
        <v>11</v>
      </c>
      <c r="F481" s="1" t="s">
        <v>522</v>
      </c>
    </row>
    <row r="482" spans="1:6" x14ac:dyDescent="0.3">
      <c r="A482" s="1" t="s">
        <v>1751</v>
      </c>
      <c r="B482" s="13">
        <v>45102</v>
      </c>
      <c r="C482" s="1" t="s">
        <v>1260</v>
      </c>
      <c r="D482" s="1" t="s">
        <v>43</v>
      </c>
      <c r="E482" s="1">
        <v>29</v>
      </c>
      <c r="F482" s="1" t="s">
        <v>523</v>
      </c>
    </row>
    <row r="483" spans="1:6" x14ac:dyDescent="0.3">
      <c r="A483" s="1" t="s">
        <v>1752</v>
      </c>
      <c r="B483" s="13">
        <v>45102</v>
      </c>
      <c r="C483" s="1" t="s">
        <v>1099</v>
      </c>
      <c r="D483" s="1" t="s">
        <v>41</v>
      </c>
      <c r="E483" s="1">
        <v>59</v>
      </c>
      <c r="F483" s="1" t="s">
        <v>524</v>
      </c>
    </row>
    <row r="484" spans="1:6" x14ac:dyDescent="0.3">
      <c r="A484" s="1" t="s">
        <v>1753</v>
      </c>
      <c r="B484" s="13">
        <v>45103</v>
      </c>
      <c r="C484" s="1" t="s">
        <v>1145</v>
      </c>
      <c r="D484" s="1" t="s">
        <v>43</v>
      </c>
      <c r="E484" s="1">
        <v>12</v>
      </c>
      <c r="F484" s="1" t="s">
        <v>525</v>
      </c>
    </row>
    <row r="485" spans="1:6" x14ac:dyDescent="0.3">
      <c r="A485" s="1" t="s">
        <v>1754</v>
      </c>
      <c r="B485" s="13">
        <v>45103</v>
      </c>
      <c r="C485" s="1" t="s">
        <v>1156</v>
      </c>
      <c r="D485" s="1" t="s">
        <v>41</v>
      </c>
      <c r="E485" s="1">
        <v>75</v>
      </c>
      <c r="F485" s="1" t="s">
        <v>526</v>
      </c>
    </row>
    <row r="486" spans="1:6" x14ac:dyDescent="0.3">
      <c r="A486" s="1" t="s">
        <v>1755</v>
      </c>
      <c r="B486" s="13">
        <v>45103</v>
      </c>
      <c r="C486" s="1" t="s">
        <v>1204</v>
      </c>
      <c r="D486" s="1" t="s">
        <v>43</v>
      </c>
      <c r="E486" s="1">
        <v>67</v>
      </c>
      <c r="F486" s="1" t="s">
        <v>527</v>
      </c>
    </row>
    <row r="487" spans="1:6" x14ac:dyDescent="0.3">
      <c r="A487" s="1" t="s">
        <v>1756</v>
      </c>
      <c r="B487" s="13">
        <v>45103</v>
      </c>
      <c r="C487" s="1" t="s">
        <v>1147</v>
      </c>
      <c r="D487" s="1" t="s">
        <v>41</v>
      </c>
      <c r="E487" s="1">
        <v>29</v>
      </c>
      <c r="F487" s="1" t="s">
        <v>528</v>
      </c>
    </row>
    <row r="488" spans="1:6" x14ac:dyDescent="0.3">
      <c r="A488" s="1" t="s">
        <v>1757</v>
      </c>
      <c r="B488" s="13">
        <v>45103</v>
      </c>
      <c r="C488" s="1" t="s">
        <v>1203</v>
      </c>
      <c r="D488" s="1" t="s">
        <v>41</v>
      </c>
      <c r="E488" s="1">
        <v>61</v>
      </c>
      <c r="F488" s="1" t="s">
        <v>529</v>
      </c>
    </row>
    <row r="489" spans="1:6" x14ac:dyDescent="0.3">
      <c r="A489" s="1" t="s">
        <v>1758</v>
      </c>
      <c r="B489" s="13">
        <v>45104</v>
      </c>
      <c r="C489" s="1" t="s">
        <v>1260</v>
      </c>
      <c r="D489" s="1" t="s">
        <v>41</v>
      </c>
      <c r="E489" s="1">
        <v>52</v>
      </c>
      <c r="F489" s="1" t="s">
        <v>530</v>
      </c>
    </row>
    <row r="490" spans="1:6" x14ac:dyDescent="0.3">
      <c r="A490" s="1" t="s">
        <v>1759</v>
      </c>
      <c r="B490" s="13">
        <v>45104</v>
      </c>
      <c r="C490" s="1" t="s">
        <v>1233</v>
      </c>
      <c r="D490" s="1" t="s">
        <v>43</v>
      </c>
      <c r="E490" s="1">
        <v>28</v>
      </c>
      <c r="F490" s="1" t="s">
        <v>531</v>
      </c>
    </row>
    <row r="491" spans="1:6" x14ac:dyDescent="0.3">
      <c r="A491" s="1" t="s">
        <v>1760</v>
      </c>
      <c r="B491" s="13">
        <v>45104</v>
      </c>
      <c r="C491" s="1" t="s">
        <v>1161</v>
      </c>
      <c r="D491" s="1" t="s">
        <v>43</v>
      </c>
      <c r="E491" s="1">
        <v>84</v>
      </c>
      <c r="F491" s="1" t="s">
        <v>532</v>
      </c>
    </row>
    <row r="492" spans="1:6" x14ac:dyDescent="0.3">
      <c r="A492" s="1" t="s">
        <v>1761</v>
      </c>
      <c r="B492" s="13">
        <v>45104</v>
      </c>
      <c r="C492" s="1" t="s">
        <v>1106</v>
      </c>
      <c r="D492" s="1" t="s">
        <v>41</v>
      </c>
      <c r="E492" s="1">
        <v>79</v>
      </c>
      <c r="F492" s="1" t="s">
        <v>533</v>
      </c>
    </row>
    <row r="493" spans="1:6" x14ac:dyDescent="0.3">
      <c r="A493" s="1" t="s">
        <v>1762</v>
      </c>
      <c r="B493" s="13">
        <v>45105</v>
      </c>
      <c r="C493" s="1" t="s">
        <v>1102</v>
      </c>
      <c r="D493" s="1" t="s">
        <v>41</v>
      </c>
      <c r="E493" s="1">
        <v>39</v>
      </c>
      <c r="F493" s="1" t="s">
        <v>534</v>
      </c>
    </row>
    <row r="494" spans="1:6" x14ac:dyDescent="0.3">
      <c r="A494" s="1" t="s">
        <v>1763</v>
      </c>
      <c r="B494" s="13">
        <v>45105</v>
      </c>
      <c r="C494" s="1" t="s">
        <v>1231</v>
      </c>
      <c r="D494" s="1" t="s">
        <v>41</v>
      </c>
      <c r="E494" s="1">
        <v>69</v>
      </c>
      <c r="F494" s="1" t="s">
        <v>535</v>
      </c>
    </row>
    <row r="495" spans="1:6" x14ac:dyDescent="0.3">
      <c r="A495" s="1" t="s">
        <v>1764</v>
      </c>
      <c r="B495" s="13">
        <v>45105</v>
      </c>
      <c r="C495" s="1" t="s">
        <v>1150</v>
      </c>
      <c r="D495" s="1" t="s">
        <v>43</v>
      </c>
      <c r="E495" s="1">
        <v>77</v>
      </c>
      <c r="F495" s="1" t="s">
        <v>536</v>
      </c>
    </row>
    <row r="496" spans="1:6" x14ac:dyDescent="0.3">
      <c r="A496" s="1" t="s">
        <v>1765</v>
      </c>
      <c r="B496" s="13">
        <v>45105</v>
      </c>
      <c r="C496" s="1" t="s">
        <v>1208</v>
      </c>
      <c r="D496" s="1" t="s">
        <v>43</v>
      </c>
      <c r="E496" s="1">
        <v>29</v>
      </c>
      <c r="F496" s="1" t="s">
        <v>537</v>
      </c>
    </row>
    <row r="497" spans="1:6" x14ac:dyDescent="0.3">
      <c r="A497" s="1" t="s">
        <v>1766</v>
      </c>
      <c r="B497" s="13">
        <v>45106</v>
      </c>
      <c r="C497" s="1" t="s">
        <v>1093</v>
      </c>
      <c r="D497" s="1" t="s">
        <v>41</v>
      </c>
      <c r="E497" s="1">
        <v>69</v>
      </c>
      <c r="F497" s="1" t="s">
        <v>538</v>
      </c>
    </row>
    <row r="498" spans="1:6" x14ac:dyDescent="0.3">
      <c r="A498" s="1" t="s">
        <v>1767</v>
      </c>
      <c r="B498" s="13">
        <v>45106</v>
      </c>
      <c r="C498" s="1" t="s">
        <v>1146</v>
      </c>
      <c r="D498" s="1" t="s">
        <v>41</v>
      </c>
      <c r="E498" s="1">
        <v>40</v>
      </c>
      <c r="F498" s="1" t="s">
        <v>539</v>
      </c>
    </row>
    <row r="499" spans="1:6" x14ac:dyDescent="0.3">
      <c r="A499" s="1" t="s">
        <v>1768</v>
      </c>
      <c r="B499" s="13">
        <v>45107</v>
      </c>
      <c r="C499" s="1" t="s">
        <v>1252</v>
      </c>
      <c r="D499" s="1" t="s">
        <v>41</v>
      </c>
      <c r="E499" s="1">
        <v>68</v>
      </c>
      <c r="F499" s="1" t="s">
        <v>540</v>
      </c>
    </row>
    <row r="500" spans="1:6" x14ac:dyDescent="0.3">
      <c r="A500" s="1" t="s">
        <v>1769</v>
      </c>
      <c r="B500" s="13">
        <v>45107</v>
      </c>
      <c r="C500" s="1" t="s">
        <v>1230</v>
      </c>
      <c r="D500" s="1" t="s">
        <v>41</v>
      </c>
      <c r="E500" s="1">
        <v>75</v>
      </c>
      <c r="F500" s="1" t="s">
        <v>541</v>
      </c>
    </row>
    <row r="501" spans="1:6" x14ac:dyDescent="0.3">
      <c r="A501" s="1" t="s">
        <v>1770</v>
      </c>
      <c r="B501" s="13">
        <v>45107</v>
      </c>
      <c r="C501" s="1" t="s">
        <v>1108</v>
      </c>
      <c r="D501" s="1" t="s">
        <v>43</v>
      </c>
      <c r="E501" s="1">
        <v>68</v>
      </c>
      <c r="F501" s="1" t="s">
        <v>542</v>
      </c>
    </row>
    <row r="502" spans="1:6" x14ac:dyDescent="0.3">
      <c r="A502" s="1" t="s">
        <v>1771</v>
      </c>
      <c r="B502" s="13">
        <v>45108</v>
      </c>
      <c r="C502" s="1" t="s">
        <v>1248</v>
      </c>
      <c r="D502" s="1" t="s">
        <v>43</v>
      </c>
      <c r="E502" s="1">
        <v>78</v>
      </c>
      <c r="F502" s="1" t="s">
        <v>543</v>
      </c>
    </row>
    <row r="503" spans="1:6" x14ac:dyDescent="0.3">
      <c r="A503" s="1" t="s">
        <v>1772</v>
      </c>
      <c r="B503" s="13">
        <v>45108</v>
      </c>
      <c r="C503" s="1" t="s">
        <v>1181</v>
      </c>
      <c r="D503" s="1" t="s">
        <v>43</v>
      </c>
      <c r="E503" s="1">
        <v>76</v>
      </c>
      <c r="F503" s="1" t="s">
        <v>544</v>
      </c>
    </row>
    <row r="504" spans="1:6" x14ac:dyDescent="0.3">
      <c r="A504" s="1" t="s">
        <v>1773</v>
      </c>
      <c r="B504" s="13">
        <v>45108</v>
      </c>
      <c r="C504" s="1" t="s">
        <v>1197</v>
      </c>
      <c r="D504" s="1" t="s">
        <v>43</v>
      </c>
      <c r="E504" s="1">
        <v>27</v>
      </c>
      <c r="F504" s="1" t="s">
        <v>545</v>
      </c>
    </row>
    <row r="505" spans="1:6" x14ac:dyDescent="0.3">
      <c r="A505" s="1" t="s">
        <v>1774</v>
      </c>
      <c r="B505" s="13">
        <v>45109</v>
      </c>
      <c r="C505" s="1" t="s">
        <v>1120</v>
      </c>
      <c r="D505" s="1" t="s">
        <v>43</v>
      </c>
      <c r="E505" s="1">
        <v>74</v>
      </c>
      <c r="F505" s="1" t="s">
        <v>546</v>
      </c>
    </row>
    <row r="506" spans="1:6" x14ac:dyDescent="0.3">
      <c r="A506" s="1" t="s">
        <v>1775</v>
      </c>
      <c r="B506" s="13">
        <v>45109</v>
      </c>
      <c r="C506" s="1" t="s">
        <v>1129</v>
      </c>
      <c r="D506" s="1" t="s">
        <v>43</v>
      </c>
      <c r="E506" s="1">
        <v>27</v>
      </c>
      <c r="F506" s="1" t="s">
        <v>547</v>
      </c>
    </row>
    <row r="507" spans="1:6" x14ac:dyDescent="0.3">
      <c r="A507" s="1" t="s">
        <v>1776</v>
      </c>
      <c r="B507" s="13">
        <v>45110</v>
      </c>
      <c r="C507" s="1" t="s">
        <v>1223</v>
      </c>
      <c r="D507" s="1" t="s">
        <v>43</v>
      </c>
      <c r="E507" s="1">
        <v>15</v>
      </c>
      <c r="F507" s="1" t="s">
        <v>548</v>
      </c>
    </row>
    <row r="508" spans="1:6" x14ac:dyDescent="0.3">
      <c r="A508" s="1" t="s">
        <v>1777</v>
      </c>
      <c r="B508" s="13">
        <v>45111</v>
      </c>
      <c r="C508" s="1" t="s">
        <v>1164</v>
      </c>
      <c r="D508" s="1" t="s">
        <v>41</v>
      </c>
      <c r="E508" s="1">
        <v>60</v>
      </c>
      <c r="F508" s="1" t="s">
        <v>549</v>
      </c>
    </row>
    <row r="509" spans="1:6" x14ac:dyDescent="0.3">
      <c r="A509" s="1" t="s">
        <v>1778</v>
      </c>
      <c r="B509" s="13">
        <v>45112</v>
      </c>
      <c r="C509" s="1" t="s">
        <v>1102</v>
      </c>
      <c r="D509" s="1" t="s">
        <v>43</v>
      </c>
      <c r="E509" s="1">
        <v>95</v>
      </c>
      <c r="F509" s="1" t="s">
        <v>550</v>
      </c>
    </row>
    <row r="510" spans="1:6" x14ac:dyDescent="0.3">
      <c r="A510" s="1" t="s">
        <v>1779</v>
      </c>
      <c r="B510" s="13">
        <v>45113</v>
      </c>
      <c r="C510" s="1" t="s">
        <v>1260</v>
      </c>
      <c r="D510" s="1" t="s">
        <v>43</v>
      </c>
      <c r="E510" s="1">
        <v>21</v>
      </c>
      <c r="F510" s="1" t="s">
        <v>551</v>
      </c>
    </row>
    <row r="511" spans="1:6" x14ac:dyDescent="0.3">
      <c r="A511" s="1" t="s">
        <v>1780</v>
      </c>
      <c r="B511" s="13">
        <v>45113</v>
      </c>
      <c r="C511" s="1" t="s">
        <v>1228</v>
      </c>
      <c r="D511" s="1" t="s">
        <v>43</v>
      </c>
      <c r="E511" s="1">
        <v>89</v>
      </c>
      <c r="F511" s="1" t="s">
        <v>552</v>
      </c>
    </row>
    <row r="512" spans="1:6" x14ac:dyDescent="0.3">
      <c r="A512" s="1" t="s">
        <v>1781</v>
      </c>
      <c r="B512" s="13">
        <v>45114</v>
      </c>
      <c r="C512" s="1" t="s">
        <v>1212</v>
      </c>
      <c r="D512" s="1" t="s">
        <v>43</v>
      </c>
      <c r="E512" s="1">
        <v>14</v>
      </c>
      <c r="F512" s="1" t="s">
        <v>553</v>
      </c>
    </row>
    <row r="513" spans="1:6" x14ac:dyDescent="0.3">
      <c r="A513" s="1" t="s">
        <v>1782</v>
      </c>
      <c r="B513" s="13">
        <v>45114</v>
      </c>
      <c r="C513" s="1" t="s">
        <v>1095</v>
      </c>
      <c r="D513" s="1" t="s">
        <v>43</v>
      </c>
      <c r="E513" s="1">
        <v>32</v>
      </c>
      <c r="F513" s="1" t="s">
        <v>554</v>
      </c>
    </row>
    <row r="514" spans="1:6" x14ac:dyDescent="0.3">
      <c r="A514" s="1" t="s">
        <v>1783</v>
      </c>
      <c r="B514" s="13">
        <v>45114</v>
      </c>
      <c r="C514" s="1" t="s">
        <v>1230</v>
      </c>
      <c r="D514" s="1" t="s">
        <v>43</v>
      </c>
      <c r="E514" s="1">
        <v>68</v>
      </c>
      <c r="F514" s="1" t="s">
        <v>555</v>
      </c>
    </row>
    <row r="515" spans="1:6" x14ac:dyDescent="0.3">
      <c r="A515" s="1" t="s">
        <v>1784</v>
      </c>
      <c r="B515" s="13">
        <v>45114</v>
      </c>
      <c r="C515" s="1" t="s">
        <v>1238</v>
      </c>
      <c r="D515" s="1" t="s">
        <v>43</v>
      </c>
      <c r="E515" s="1">
        <v>43</v>
      </c>
      <c r="F515" s="1" t="s">
        <v>556</v>
      </c>
    </row>
    <row r="516" spans="1:6" x14ac:dyDescent="0.3">
      <c r="A516" s="1" t="s">
        <v>1785</v>
      </c>
      <c r="B516" s="13">
        <v>45114</v>
      </c>
      <c r="C516" s="1" t="s">
        <v>1176</v>
      </c>
      <c r="D516" s="1" t="s">
        <v>43</v>
      </c>
      <c r="E516" s="1">
        <v>92</v>
      </c>
      <c r="F516" s="1" t="s">
        <v>557</v>
      </c>
    </row>
    <row r="517" spans="1:6" x14ac:dyDescent="0.3">
      <c r="A517" s="1" t="s">
        <v>1786</v>
      </c>
      <c r="B517" s="13">
        <v>45115</v>
      </c>
      <c r="C517" s="1" t="s">
        <v>1224</v>
      </c>
      <c r="D517" s="1" t="s">
        <v>43</v>
      </c>
      <c r="E517" s="1">
        <v>85</v>
      </c>
      <c r="F517" s="1" t="s">
        <v>558</v>
      </c>
    </row>
    <row r="518" spans="1:6" x14ac:dyDescent="0.3">
      <c r="A518" s="1" t="s">
        <v>1787</v>
      </c>
      <c r="B518" s="13">
        <v>45116</v>
      </c>
      <c r="C518" s="1" t="s">
        <v>1176</v>
      </c>
      <c r="D518" s="1" t="s">
        <v>43</v>
      </c>
      <c r="E518" s="1">
        <v>24</v>
      </c>
      <c r="F518" s="1" t="s">
        <v>559</v>
      </c>
    </row>
    <row r="519" spans="1:6" x14ac:dyDescent="0.3">
      <c r="A519" s="1" t="s">
        <v>1788</v>
      </c>
      <c r="B519" s="13">
        <v>45117</v>
      </c>
      <c r="C519" s="1" t="s">
        <v>1220</v>
      </c>
      <c r="D519" s="1" t="s">
        <v>43</v>
      </c>
      <c r="E519" s="1">
        <v>13</v>
      </c>
      <c r="F519" s="1" t="s">
        <v>560</v>
      </c>
    </row>
    <row r="520" spans="1:6" x14ac:dyDescent="0.3">
      <c r="A520" s="1" t="s">
        <v>1789</v>
      </c>
      <c r="B520" s="13">
        <v>45118</v>
      </c>
      <c r="C520" s="1" t="s">
        <v>1120</v>
      </c>
      <c r="D520" s="1" t="s">
        <v>41</v>
      </c>
      <c r="E520" s="1">
        <v>19</v>
      </c>
      <c r="F520" s="1" t="s">
        <v>561</v>
      </c>
    </row>
    <row r="521" spans="1:6" x14ac:dyDescent="0.3">
      <c r="A521" s="1" t="s">
        <v>1790</v>
      </c>
      <c r="B521" s="13">
        <v>45118</v>
      </c>
      <c r="C521" s="1" t="s">
        <v>1256</v>
      </c>
      <c r="D521" s="1" t="s">
        <v>41</v>
      </c>
      <c r="E521" s="1">
        <v>97</v>
      </c>
      <c r="F521" s="1" t="s">
        <v>562</v>
      </c>
    </row>
    <row r="522" spans="1:6" x14ac:dyDescent="0.3">
      <c r="A522" s="1" t="s">
        <v>1791</v>
      </c>
      <c r="B522" s="13">
        <v>45119</v>
      </c>
      <c r="C522" s="1" t="s">
        <v>1227</v>
      </c>
      <c r="D522" s="1" t="s">
        <v>43</v>
      </c>
      <c r="E522" s="1">
        <v>52</v>
      </c>
      <c r="F522" s="1" t="s">
        <v>563</v>
      </c>
    </row>
    <row r="523" spans="1:6" x14ac:dyDescent="0.3">
      <c r="A523" s="1" t="s">
        <v>1792</v>
      </c>
      <c r="B523" s="13">
        <v>45119</v>
      </c>
      <c r="C523" s="1" t="s">
        <v>1145</v>
      </c>
      <c r="D523" s="1" t="s">
        <v>43</v>
      </c>
      <c r="E523" s="1">
        <v>96</v>
      </c>
      <c r="F523" s="1" t="s">
        <v>564</v>
      </c>
    </row>
    <row r="524" spans="1:6" x14ac:dyDescent="0.3">
      <c r="A524" s="1" t="s">
        <v>1793</v>
      </c>
      <c r="B524" s="13">
        <v>45119</v>
      </c>
      <c r="C524" s="1" t="s">
        <v>1206</v>
      </c>
      <c r="D524" s="1" t="s">
        <v>43</v>
      </c>
      <c r="E524" s="1">
        <v>26</v>
      </c>
      <c r="F524" s="1" t="s">
        <v>565</v>
      </c>
    </row>
    <row r="525" spans="1:6" x14ac:dyDescent="0.3">
      <c r="A525" s="1" t="s">
        <v>1794</v>
      </c>
      <c r="B525" s="13">
        <v>45120</v>
      </c>
      <c r="C525" s="1" t="s">
        <v>1161</v>
      </c>
      <c r="D525" s="1" t="s">
        <v>41</v>
      </c>
      <c r="E525" s="1">
        <v>51</v>
      </c>
      <c r="F525" s="1" t="s">
        <v>566</v>
      </c>
    </row>
    <row r="526" spans="1:6" x14ac:dyDescent="0.3">
      <c r="A526" s="1" t="s">
        <v>1795</v>
      </c>
      <c r="B526" s="13">
        <v>45120</v>
      </c>
      <c r="C526" s="1" t="s">
        <v>1145</v>
      </c>
      <c r="D526" s="1" t="s">
        <v>41</v>
      </c>
      <c r="E526" s="1">
        <v>51</v>
      </c>
      <c r="F526" s="1" t="s">
        <v>567</v>
      </c>
    </row>
    <row r="527" spans="1:6" x14ac:dyDescent="0.3">
      <c r="A527" s="1" t="s">
        <v>1796</v>
      </c>
      <c r="B527" s="13">
        <v>45120</v>
      </c>
      <c r="C527" s="1" t="s">
        <v>1266</v>
      </c>
      <c r="D527" s="1" t="s">
        <v>43</v>
      </c>
      <c r="E527" s="1">
        <v>39</v>
      </c>
      <c r="F527" s="1" t="s">
        <v>568</v>
      </c>
    </row>
    <row r="528" spans="1:6" x14ac:dyDescent="0.3">
      <c r="A528" s="1" t="s">
        <v>1797</v>
      </c>
      <c r="B528" s="13">
        <v>45121</v>
      </c>
      <c r="C528" s="1" t="s">
        <v>1220</v>
      </c>
      <c r="D528" s="1" t="s">
        <v>41</v>
      </c>
      <c r="E528" s="1">
        <v>90</v>
      </c>
      <c r="F528" s="1" t="s">
        <v>569</v>
      </c>
    </row>
    <row r="529" spans="1:6" x14ac:dyDescent="0.3">
      <c r="A529" s="1" t="s">
        <v>1798</v>
      </c>
      <c r="B529" s="13">
        <v>45121</v>
      </c>
      <c r="C529" s="1" t="s">
        <v>1130</v>
      </c>
      <c r="D529" s="1" t="s">
        <v>43</v>
      </c>
      <c r="E529" s="1">
        <v>35</v>
      </c>
      <c r="F529" s="1" t="s">
        <v>570</v>
      </c>
    </row>
    <row r="530" spans="1:6" x14ac:dyDescent="0.3">
      <c r="A530" s="1" t="s">
        <v>1799</v>
      </c>
      <c r="B530" s="13">
        <v>45121</v>
      </c>
      <c r="C530" s="1" t="s">
        <v>1256</v>
      </c>
      <c r="D530" s="1" t="s">
        <v>43</v>
      </c>
      <c r="E530" s="1">
        <v>39</v>
      </c>
      <c r="F530" s="1" t="s">
        <v>571</v>
      </c>
    </row>
    <row r="531" spans="1:6" x14ac:dyDescent="0.3">
      <c r="A531" s="1" t="s">
        <v>1800</v>
      </c>
      <c r="B531" s="13">
        <v>45122</v>
      </c>
      <c r="C531" s="1" t="s">
        <v>1252</v>
      </c>
      <c r="D531" s="1" t="s">
        <v>41</v>
      </c>
      <c r="E531" s="1">
        <v>64</v>
      </c>
      <c r="F531" s="1" t="s">
        <v>572</v>
      </c>
    </row>
    <row r="532" spans="1:6" x14ac:dyDescent="0.3">
      <c r="A532" s="1" t="s">
        <v>1801</v>
      </c>
      <c r="B532" s="13">
        <v>45122</v>
      </c>
      <c r="C532" s="1" t="s">
        <v>1202</v>
      </c>
      <c r="D532" s="1" t="s">
        <v>43</v>
      </c>
      <c r="E532" s="1">
        <v>98</v>
      </c>
      <c r="F532" s="1" t="s">
        <v>573</v>
      </c>
    </row>
    <row r="533" spans="1:6" x14ac:dyDescent="0.3">
      <c r="A533" s="1" t="s">
        <v>1802</v>
      </c>
      <c r="B533" s="13">
        <v>45123</v>
      </c>
      <c r="C533" s="1" t="s">
        <v>1238</v>
      </c>
      <c r="D533" s="1" t="s">
        <v>41</v>
      </c>
      <c r="E533" s="1">
        <v>95</v>
      </c>
      <c r="F533" s="1" t="s">
        <v>574</v>
      </c>
    </row>
    <row r="534" spans="1:6" x14ac:dyDescent="0.3">
      <c r="A534" s="1" t="s">
        <v>1803</v>
      </c>
      <c r="B534" s="13">
        <v>45124</v>
      </c>
      <c r="C534" s="1" t="s">
        <v>1229</v>
      </c>
      <c r="D534" s="1" t="s">
        <v>43</v>
      </c>
      <c r="E534" s="1">
        <v>1</v>
      </c>
      <c r="F534" s="1" t="s">
        <v>575</v>
      </c>
    </row>
    <row r="535" spans="1:6" x14ac:dyDescent="0.3">
      <c r="A535" s="1" t="s">
        <v>1804</v>
      </c>
      <c r="B535" s="13">
        <v>45124</v>
      </c>
      <c r="C535" s="1" t="s">
        <v>1122</v>
      </c>
      <c r="D535" s="1" t="s">
        <v>41</v>
      </c>
      <c r="E535" s="1">
        <v>20</v>
      </c>
      <c r="F535" s="1" t="s">
        <v>576</v>
      </c>
    </row>
    <row r="536" spans="1:6" x14ac:dyDescent="0.3">
      <c r="A536" s="1" t="s">
        <v>1805</v>
      </c>
      <c r="B536" s="13">
        <v>45124</v>
      </c>
      <c r="C536" s="1" t="s">
        <v>1165</v>
      </c>
      <c r="D536" s="1" t="s">
        <v>41</v>
      </c>
      <c r="E536" s="1">
        <v>18</v>
      </c>
      <c r="F536" s="1" t="s">
        <v>577</v>
      </c>
    </row>
    <row r="537" spans="1:6" x14ac:dyDescent="0.3">
      <c r="A537" s="1" t="s">
        <v>1806</v>
      </c>
      <c r="B537" s="13">
        <v>45124</v>
      </c>
      <c r="C537" s="1" t="s">
        <v>1210</v>
      </c>
      <c r="D537" s="1" t="s">
        <v>43</v>
      </c>
      <c r="E537" s="1">
        <v>54</v>
      </c>
      <c r="F537" s="1" t="s">
        <v>578</v>
      </c>
    </row>
    <row r="538" spans="1:6" x14ac:dyDescent="0.3">
      <c r="A538" s="1" t="s">
        <v>1807</v>
      </c>
      <c r="B538" s="13">
        <v>45124</v>
      </c>
      <c r="C538" s="1" t="s">
        <v>1095</v>
      </c>
      <c r="D538" s="1" t="s">
        <v>41</v>
      </c>
      <c r="E538" s="1">
        <v>19</v>
      </c>
      <c r="F538" s="1" t="s">
        <v>579</v>
      </c>
    </row>
    <row r="539" spans="1:6" x14ac:dyDescent="0.3">
      <c r="A539" s="1" t="s">
        <v>1808</v>
      </c>
      <c r="B539" s="13">
        <v>45125</v>
      </c>
      <c r="C539" s="1" t="s">
        <v>1249</v>
      </c>
      <c r="D539" s="1" t="s">
        <v>43</v>
      </c>
      <c r="E539" s="1">
        <v>66</v>
      </c>
      <c r="F539" s="1" t="s">
        <v>580</v>
      </c>
    </row>
    <row r="540" spans="1:6" x14ac:dyDescent="0.3">
      <c r="A540" s="1" t="s">
        <v>1809</v>
      </c>
      <c r="B540" s="13">
        <v>45125</v>
      </c>
      <c r="C540" s="1" t="s">
        <v>1223</v>
      </c>
      <c r="D540" s="1" t="s">
        <v>41</v>
      </c>
      <c r="E540" s="1">
        <v>88</v>
      </c>
      <c r="F540" s="1" t="s">
        <v>581</v>
      </c>
    </row>
    <row r="541" spans="1:6" x14ac:dyDescent="0.3">
      <c r="A541" s="1" t="s">
        <v>1810</v>
      </c>
      <c r="B541" s="13">
        <v>45125</v>
      </c>
      <c r="C541" s="1" t="s">
        <v>1099</v>
      </c>
      <c r="D541" s="1" t="s">
        <v>43</v>
      </c>
      <c r="E541" s="1">
        <v>71</v>
      </c>
      <c r="F541" s="1" t="s">
        <v>582</v>
      </c>
    </row>
    <row r="542" spans="1:6" x14ac:dyDescent="0.3">
      <c r="A542" s="1" t="s">
        <v>1811</v>
      </c>
      <c r="B542" s="13">
        <v>45126</v>
      </c>
      <c r="C542" s="1" t="s">
        <v>1265</v>
      </c>
      <c r="D542" s="1" t="s">
        <v>43</v>
      </c>
      <c r="E542" s="1">
        <v>39</v>
      </c>
      <c r="F542" s="1" t="s">
        <v>583</v>
      </c>
    </row>
    <row r="543" spans="1:6" x14ac:dyDescent="0.3">
      <c r="A543" s="1" t="s">
        <v>1812</v>
      </c>
      <c r="B543" s="13">
        <v>45126</v>
      </c>
      <c r="C543" s="1" t="s">
        <v>1153</v>
      </c>
      <c r="D543" s="1" t="s">
        <v>41</v>
      </c>
      <c r="E543" s="1">
        <v>20</v>
      </c>
      <c r="F543" s="1" t="s">
        <v>584</v>
      </c>
    </row>
    <row r="544" spans="1:6" x14ac:dyDescent="0.3">
      <c r="A544" s="1" t="s">
        <v>1813</v>
      </c>
      <c r="B544" s="13">
        <v>45127</v>
      </c>
      <c r="C544" s="1" t="s">
        <v>1252</v>
      </c>
      <c r="D544" s="1" t="s">
        <v>43</v>
      </c>
      <c r="E544" s="1">
        <v>33</v>
      </c>
      <c r="F544" s="1" t="s">
        <v>585</v>
      </c>
    </row>
    <row r="545" spans="1:6" x14ac:dyDescent="0.3">
      <c r="A545" s="1" t="s">
        <v>1814</v>
      </c>
      <c r="B545" s="13">
        <v>45127</v>
      </c>
      <c r="C545" s="1" t="s">
        <v>1181</v>
      </c>
      <c r="D545" s="1" t="s">
        <v>43</v>
      </c>
      <c r="E545" s="1">
        <v>29</v>
      </c>
      <c r="F545" s="1" t="s">
        <v>586</v>
      </c>
    </row>
    <row r="546" spans="1:6" x14ac:dyDescent="0.3">
      <c r="A546" s="1" t="s">
        <v>1815</v>
      </c>
      <c r="B546" s="13">
        <v>45127</v>
      </c>
      <c r="C546" s="1" t="s">
        <v>1120</v>
      </c>
      <c r="D546" s="1" t="s">
        <v>43</v>
      </c>
      <c r="E546" s="1">
        <v>92</v>
      </c>
      <c r="F546" s="1" t="s">
        <v>587</v>
      </c>
    </row>
    <row r="547" spans="1:6" x14ac:dyDescent="0.3">
      <c r="A547" s="1" t="s">
        <v>1816</v>
      </c>
      <c r="B547" s="13">
        <v>45128</v>
      </c>
      <c r="C547" s="1" t="s">
        <v>1218</v>
      </c>
      <c r="D547" s="1" t="s">
        <v>43</v>
      </c>
      <c r="E547" s="1">
        <v>70</v>
      </c>
      <c r="F547" s="1" t="s">
        <v>588</v>
      </c>
    </row>
    <row r="548" spans="1:6" x14ac:dyDescent="0.3">
      <c r="A548" s="1" t="s">
        <v>1817</v>
      </c>
      <c r="B548" s="13">
        <v>45128</v>
      </c>
      <c r="C548" s="1" t="s">
        <v>1173</v>
      </c>
      <c r="D548" s="1" t="s">
        <v>43</v>
      </c>
      <c r="E548" s="1">
        <v>65</v>
      </c>
      <c r="F548" s="1" t="s">
        <v>589</v>
      </c>
    </row>
    <row r="549" spans="1:6" x14ac:dyDescent="0.3">
      <c r="A549" s="1" t="s">
        <v>1818</v>
      </c>
      <c r="B549" s="13">
        <v>45128</v>
      </c>
      <c r="C549" s="1" t="s">
        <v>1172</v>
      </c>
      <c r="D549" s="1" t="s">
        <v>41</v>
      </c>
      <c r="E549" s="1">
        <v>26</v>
      </c>
      <c r="F549" s="1" t="s">
        <v>590</v>
      </c>
    </row>
    <row r="550" spans="1:6" x14ac:dyDescent="0.3">
      <c r="A550" s="1" t="s">
        <v>1819</v>
      </c>
      <c r="B550" s="13">
        <v>45128</v>
      </c>
      <c r="C550" s="1" t="s">
        <v>1218</v>
      </c>
      <c r="D550" s="1" t="s">
        <v>41</v>
      </c>
      <c r="E550" s="1">
        <v>99</v>
      </c>
      <c r="F550" s="1" t="s">
        <v>591</v>
      </c>
    </row>
    <row r="551" spans="1:6" x14ac:dyDescent="0.3">
      <c r="A551" s="1" t="s">
        <v>1820</v>
      </c>
      <c r="B551" s="13">
        <v>45129</v>
      </c>
      <c r="C551" s="1" t="s">
        <v>1206</v>
      </c>
      <c r="D551" s="1" t="s">
        <v>41</v>
      </c>
      <c r="E551" s="1">
        <v>47</v>
      </c>
      <c r="F551" s="1" t="s">
        <v>592</v>
      </c>
    </row>
    <row r="552" spans="1:6" x14ac:dyDescent="0.3">
      <c r="A552" s="1" t="s">
        <v>1821</v>
      </c>
      <c r="B552" s="13">
        <v>45130</v>
      </c>
      <c r="C552" s="1" t="s">
        <v>1264</v>
      </c>
      <c r="D552" s="1" t="s">
        <v>43</v>
      </c>
      <c r="E552" s="1">
        <v>2</v>
      </c>
      <c r="F552" s="1" t="s">
        <v>593</v>
      </c>
    </row>
    <row r="553" spans="1:6" x14ac:dyDescent="0.3">
      <c r="A553" s="1" t="s">
        <v>1822</v>
      </c>
      <c r="B553" s="13">
        <v>45130</v>
      </c>
      <c r="C553" s="1" t="s">
        <v>1181</v>
      </c>
      <c r="D553" s="1" t="s">
        <v>43</v>
      </c>
      <c r="E553" s="1">
        <v>44</v>
      </c>
      <c r="F553" s="1" t="s">
        <v>594</v>
      </c>
    </row>
    <row r="554" spans="1:6" x14ac:dyDescent="0.3">
      <c r="A554" s="1" t="s">
        <v>1823</v>
      </c>
      <c r="B554" s="13">
        <v>45131</v>
      </c>
      <c r="C554" s="1" t="s">
        <v>1237</v>
      </c>
      <c r="D554" s="1" t="s">
        <v>41</v>
      </c>
      <c r="E554" s="1">
        <v>89</v>
      </c>
      <c r="F554" s="1" t="s">
        <v>595</v>
      </c>
    </row>
    <row r="555" spans="1:6" x14ac:dyDescent="0.3">
      <c r="A555" s="1" t="s">
        <v>1824</v>
      </c>
      <c r="B555" s="13">
        <v>45132</v>
      </c>
      <c r="C555" s="1" t="s">
        <v>1172</v>
      </c>
      <c r="D555" s="1" t="s">
        <v>43</v>
      </c>
      <c r="E555" s="1">
        <v>100</v>
      </c>
      <c r="F555" s="1" t="s">
        <v>596</v>
      </c>
    </row>
    <row r="556" spans="1:6" x14ac:dyDescent="0.3">
      <c r="A556" s="1" t="s">
        <v>1825</v>
      </c>
      <c r="B556" s="13">
        <v>45132</v>
      </c>
      <c r="C556" s="1" t="s">
        <v>1148</v>
      </c>
      <c r="D556" s="1" t="s">
        <v>41</v>
      </c>
      <c r="E556" s="1">
        <v>62</v>
      </c>
      <c r="F556" s="1" t="s">
        <v>597</v>
      </c>
    </row>
    <row r="557" spans="1:6" x14ac:dyDescent="0.3">
      <c r="A557" s="1" t="s">
        <v>1826</v>
      </c>
      <c r="B557" s="13">
        <v>45133</v>
      </c>
      <c r="C557" s="1" t="s">
        <v>1172</v>
      </c>
      <c r="D557" s="1" t="s">
        <v>43</v>
      </c>
      <c r="E557" s="1">
        <v>100</v>
      </c>
      <c r="F557" s="1" t="s">
        <v>598</v>
      </c>
    </row>
    <row r="558" spans="1:6" x14ac:dyDescent="0.3">
      <c r="A558" s="1" t="s">
        <v>1827</v>
      </c>
      <c r="B558" s="13">
        <v>45134</v>
      </c>
      <c r="C558" s="1" t="s">
        <v>1187</v>
      </c>
      <c r="D558" s="1" t="s">
        <v>43</v>
      </c>
      <c r="E558" s="1">
        <v>42</v>
      </c>
      <c r="F558" s="1" t="s">
        <v>599</v>
      </c>
    </row>
    <row r="559" spans="1:6" x14ac:dyDescent="0.3">
      <c r="A559" s="1" t="s">
        <v>1828</v>
      </c>
      <c r="B559" s="13">
        <v>45134</v>
      </c>
      <c r="C559" s="1" t="s">
        <v>1263</v>
      </c>
      <c r="D559" s="1" t="s">
        <v>41</v>
      </c>
      <c r="E559" s="1">
        <v>62</v>
      </c>
      <c r="F559" s="1" t="s">
        <v>600</v>
      </c>
    </row>
    <row r="560" spans="1:6" x14ac:dyDescent="0.3">
      <c r="A560" s="1" t="s">
        <v>1829</v>
      </c>
      <c r="B560" s="13">
        <v>45135</v>
      </c>
      <c r="C560" s="1" t="s">
        <v>1191</v>
      </c>
      <c r="D560" s="1" t="s">
        <v>41</v>
      </c>
      <c r="E560" s="1">
        <v>19</v>
      </c>
      <c r="F560" s="1" t="s">
        <v>601</v>
      </c>
    </row>
    <row r="561" spans="1:6" x14ac:dyDescent="0.3">
      <c r="A561" s="1" t="s">
        <v>1830</v>
      </c>
      <c r="B561" s="13">
        <v>45135</v>
      </c>
      <c r="C561" s="1" t="s">
        <v>1151</v>
      </c>
      <c r="D561" s="1" t="s">
        <v>43</v>
      </c>
      <c r="E561" s="1">
        <v>52</v>
      </c>
      <c r="F561" s="1" t="s">
        <v>602</v>
      </c>
    </row>
    <row r="562" spans="1:6" x14ac:dyDescent="0.3">
      <c r="A562" s="1" t="s">
        <v>1831</v>
      </c>
      <c r="B562" s="13">
        <v>45135</v>
      </c>
      <c r="C562" s="1" t="s">
        <v>1089</v>
      </c>
      <c r="D562" s="1" t="s">
        <v>41</v>
      </c>
      <c r="E562" s="1">
        <v>30</v>
      </c>
      <c r="F562" s="1" t="s">
        <v>603</v>
      </c>
    </row>
    <row r="563" spans="1:6" x14ac:dyDescent="0.3">
      <c r="A563" s="1" t="s">
        <v>1832</v>
      </c>
      <c r="B563" s="13">
        <v>45136</v>
      </c>
      <c r="C563" s="1" t="s">
        <v>1109</v>
      </c>
      <c r="D563" s="1" t="s">
        <v>41</v>
      </c>
      <c r="E563" s="1">
        <v>77</v>
      </c>
      <c r="F563" s="1" t="s">
        <v>604</v>
      </c>
    </row>
    <row r="564" spans="1:6" x14ac:dyDescent="0.3">
      <c r="A564" s="1" t="s">
        <v>1833</v>
      </c>
      <c r="B564" s="13">
        <v>45136</v>
      </c>
      <c r="C564" s="1" t="s">
        <v>1217</v>
      </c>
      <c r="D564" s="1" t="s">
        <v>41</v>
      </c>
      <c r="E564" s="1">
        <v>96</v>
      </c>
      <c r="F564" s="1" t="s">
        <v>605</v>
      </c>
    </row>
    <row r="565" spans="1:6" x14ac:dyDescent="0.3">
      <c r="A565" s="1" t="s">
        <v>1834</v>
      </c>
      <c r="B565" s="13">
        <v>45136</v>
      </c>
      <c r="C565" s="1" t="s">
        <v>1180</v>
      </c>
      <c r="D565" s="1" t="s">
        <v>41</v>
      </c>
      <c r="E565" s="1">
        <v>67</v>
      </c>
      <c r="F565" s="1" t="s">
        <v>606</v>
      </c>
    </row>
    <row r="566" spans="1:6" x14ac:dyDescent="0.3">
      <c r="A566" s="1" t="s">
        <v>1835</v>
      </c>
      <c r="B566" s="13">
        <v>45136</v>
      </c>
      <c r="C566" s="1" t="s">
        <v>1147</v>
      </c>
      <c r="D566" s="1" t="s">
        <v>43</v>
      </c>
      <c r="E566" s="1">
        <v>86</v>
      </c>
      <c r="F566" s="1" t="s">
        <v>607</v>
      </c>
    </row>
    <row r="567" spans="1:6" x14ac:dyDescent="0.3">
      <c r="A567" s="1" t="s">
        <v>1836</v>
      </c>
      <c r="B567" s="13">
        <v>45137</v>
      </c>
      <c r="C567" s="1" t="s">
        <v>1244</v>
      </c>
      <c r="D567" s="1" t="s">
        <v>41</v>
      </c>
      <c r="E567" s="1">
        <v>63</v>
      </c>
      <c r="F567" s="1" t="s">
        <v>608</v>
      </c>
    </row>
    <row r="568" spans="1:6" x14ac:dyDescent="0.3">
      <c r="A568" s="1" t="s">
        <v>1837</v>
      </c>
      <c r="B568" s="13">
        <v>45137</v>
      </c>
      <c r="C568" s="1" t="s">
        <v>1157</v>
      </c>
      <c r="D568" s="1" t="s">
        <v>43</v>
      </c>
      <c r="E568" s="1">
        <v>39</v>
      </c>
      <c r="F568" s="1" t="s">
        <v>609</v>
      </c>
    </row>
    <row r="569" spans="1:6" x14ac:dyDescent="0.3">
      <c r="A569" s="1" t="s">
        <v>1838</v>
      </c>
      <c r="B569" s="13">
        <v>45138</v>
      </c>
      <c r="C569" s="1" t="s">
        <v>1233</v>
      </c>
      <c r="D569" s="1" t="s">
        <v>43</v>
      </c>
      <c r="E569" s="1">
        <v>43</v>
      </c>
      <c r="F569" s="1" t="s">
        <v>610</v>
      </c>
    </row>
    <row r="570" spans="1:6" x14ac:dyDescent="0.3">
      <c r="A570" s="1" t="s">
        <v>1839</v>
      </c>
      <c r="B570" s="13">
        <v>45139</v>
      </c>
      <c r="C570" s="1" t="s">
        <v>1138</v>
      </c>
      <c r="D570" s="1" t="s">
        <v>41</v>
      </c>
      <c r="E570" s="1">
        <v>37</v>
      </c>
      <c r="F570" s="1" t="s">
        <v>611</v>
      </c>
    </row>
    <row r="571" spans="1:6" x14ac:dyDescent="0.3">
      <c r="A571" s="1" t="s">
        <v>1840</v>
      </c>
      <c r="B571" s="13">
        <v>45139</v>
      </c>
      <c r="C571" s="1" t="s">
        <v>1108</v>
      </c>
      <c r="D571" s="1" t="s">
        <v>41</v>
      </c>
      <c r="E571" s="1">
        <v>61</v>
      </c>
      <c r="F571" s="1" t="s">
        <v>612</v>
      </c>
    </row>
    <row r="572" spans="1:6" x14ac:dyDescent="0.3">
      <c r="A572" s="1" t="s">
        <v>1841</v>
      </c>
      <c r="B572" s="13">
        <v>45140</v>
      </c>
      <c r="C572" s="1" t="s">
        <v>1177</v>
      </c>
      <c r="D572" s="1" t="s">
        <v>43</v>
      </c>
      <c r="E572" s="1">
        <v>28</v>
      </c>
      <c r="F572" s="1" t="s">
        <v>613</v>
      </c>
    </row>
    <row r="573" spans="1:6" x14ac:dyDescent="0.3">
      <c r="A573" s="1" t="s">
        <v>1842</v>
      </c>
      <c r="B573" s="13">
        <v>45140</v>
      </c>
      <c r="C573" s="1" t="s">
        <v>1248</v>
      </c>
      <c r="D573" s="1" t="s">
        <v>43</v>
      </c>
      <c r="E573" s="1">
        <v>63</v>
      </c>
      <c r="F573" s="1" t="s">
        <v>614</v>
      </c>
    </row>
    <row r="574" spans="1:6" x14ac:dyDescent="0.3">
      <c r="A574" s="1" t="s">
        <v>1843</v>
      </c>
      <c r="B574" s="13">
        <v>45140</v>
      </c>
      <c r="C574" s="1" t="s">
        <v>1206</v>
      </c>
      <c r="D574" s="1" t="s">
        <v>43</v>
      </c>
      <c r="E574" s="1">
        <v>69</v>
      </c>
      <c r="F574" s="1" t="s">
        <v>615</v>
      </c>
    </row>
    <row r="575" spans="1:6" x14ac:dyDescent="0.3">
      <c r="A575" s="1" t="s">
        <v>1844</v>
      </c>
      <c r="B575" s="13">
        <v>45141</v>
      </c>
      <c r="C575" s="1" t="s">
        <v>1216</v>
      </c>
      <c r="D575" s="1" t="s">
        <v>43</v>
      </c>
      <c r="E575" s="1">
        <v>92</v>
      </c>
      <c r="F575" s="1" t="s">
        <v>616</v>
      </c>
    </row>
    <row r="576" spans="1:6" x14ac:dyDescent="0.3">
      <c r="A576" s="1" t="s">
        <v>1845</v>
      </c>
      <c r="B576" s="13">
        <v>45141</v>
      </c>
      <c r="C576" s="1" t="s">
        <v>1093</v>
      </c>
      <c r="D576" s="1" t="s">
        <v>41</v>
      </c>
      <c r="E576" s="1">
        <v>19</v>
      </c>
      <c r="F576" s="1" t="s">
        <v>617</v>
      </c>
    </row>
    <row r="577" spans="1:6" x14ac:dyDescent="0.3">
      <c r="A577" s="1" t="s">
        <v>1846</v>
      </c>
      <c r="B577" s="13">
        <v>45141</v>
      </c>
      <c r="C577" s="1" t="s">
        <v>1108</v>
      </c>
      <c r="D577" s="1" t="s">
        <v>41</v>
      </c>
      <c r="E577" s="1">
        <v>84</v>
      </c>
      <c r="F577" s="1" t="s">
        <v>618</v>
      </c>
    </row>
    <row r="578" spans="1:6" x14ac:dyDescent="0.3">
      <c r="A578" s="1" t="s">
        <v>1847</v>
      </c>
      <c r="B578" s="13">
        <v>45141</v>
      </c>
      <c r="C578" s="1" t="s">
        <v>1090</v>
      </c>
      <c r="D578" s="1" t="s">
        <v>41</v>
      </c>
      <c r="E578" s="1">
        <v>14</v>
      </c>
      <c r="F578" s="1" t="s">
        <v>619</v>
      </c>
    </row>
    <row r="579" spans="1:6" x14ac:dyDescent="0.3">
      <c r="A579" s="1" t="s">
        <v>1848</v>
      </c>
      <c r="B579" s="13">
        <v>45141</v>
      </c>
      <c r="C579" s="1" t="s">
        <v>1115</v>
      </c>
      <c r="D579" s="1" t="s">
        <v>41</v>
      </c>
      <c r="E579" s="1">
        <v>30</v>
      </c>
      <c r="F579" s="1" t="s">
        <v>620</v>
      </c>
    </row>
    <row r="580" spans="1:6" x14ac:dyDescent="0.3">
      <c r="A580" s="1" t="s">
        <v>1849</v>
      </c>
      <c r="B580" s="13">
        <v>45141</v>
      </c>
      <c r="C580" s="1" t="s">
        <v>1195</v>
      </c>
      <c r="D580" s="1" t="s">
        <v>43</v>
      </c>
      <c r="E580" s="1">
        <v>63</v>
      </c>
      <c r="F580" s="1" t="s">
        <v>621</v>
      </c>
    </row>
    <row r="581" spans="1:6" x14ac:dyDescent="0.3">
      <c r="A581" s="1" t="s">
        <v>1850</v>
      </c>
      <c r="B581" s="13">
        <v>45142</v>
      </c>
      <c r="C581" s="1" t="s">
        <v>1104</v>
      </c>
      <c r="D581" s="1" t="s">
        <v>43</v>
      </c>
      <c r="E581" s="1">
        <v>60</v>
      </c>
      <c r="F581" s="1" t="s">
        <v>622</v>
      </c>
    </row>
    <row r="582" spans="1:6" x14ac:dyDescent="0.3">
      <c r="A582" s="1" t="s">
        <v>1851</v>
      </c>
      <c r="B582" s="13">
        <v>45142</v>
      </c>
      <c r="C582" s="1" t="s">
        <v>1163</v>
      </c>
      <c r="D582" s="1" t="s">
        <v>41</v>
      </c>
      <c r="E582" s="1">
        <v>16</v>
      </c>
      <c r="F582" s="1" t="s">
        <v>623</v>
      </c>
    </row>
    <row r="583" spans="1:6" x14ac:dyDescent="0.3">
      <c r="A583" s="1" t="s">
        <v>1852</v>
      </c>
      <c r="B583" s="13">
        <v>45142</v>
      </c>
      <c r="C583" s="1" t="s">
        <v>1110</v>
      </c>
      <c r="D583" s="1" t="s">
        <v>43</v>
      </c>
      <c r="E583" s="1">
        <v>18</v>
      </c>
      <c r="F583" s="1" t="s">
        <v>624</v>
      </c>
    </row>
    <row r="584" spans="1:6" x14ac:dyDescent="0.3">
      <c r="A584" s="1" t="s">
        <v>1853</v>
      </c>
      <c r="B584" s="13">
        <v>45142</v>
      </c>
      <c r="C584" s="1" t="s">
        <v>1112</v>
      </c>
      <c r="D584" s="1" t="s">
        <v>43</v>
      </c>
      <c r="E584" s="1">
        <v>64</v>
      </c>
      <c r="F584" s="1" t="s">
        <v>625</v>
      </c>
    </row>
    <row r="585" spans="1:6" x14ac:dyDescent="0.3">
      <c r="A585" s="1" t="s">
        <v>1854</v>
      </c>
      <c r="B585" s="13">
        <v>45143</v>
      </c>
      <c r="C585" s="1" t="s">
        <v>1177</v>
      </c>
      <c r="D585" s="1" t="s">
        <v>41</v>
      </c>
      <c r="E585" s="1">
        <v>74</v>
      </c>
      <c r="F585" s="1" t="s">
        <v>626</v>
      </c>
    </row>
    <row r="586" spans="1:6" x14ac:dyDescent="0.3">
      <c r="A586" s="1" t="s">
        <v>1855</v>
      </c>
      <c r="B586" s="13">
        <v>45143</v>
      </c>
      <c r="C586" s="1" t="s">
        <v>1129</v>
      </c>
      <c r="D586" s="1" t="s">
        <v>43</v>
      </c>
      <c r="E586" s="1">
        <v>92</v>
      </c>
      <c r="F586" s="1" t="s">
        <v>627</v>
      </c>
    </row>
    <row r="587" spans="1:6" x14ac:dyDescent="0.3">
      <c r="A587" s="1" t="s">
        <v>1856</v>
      </c>
      <c r="B587" s="13">
        <v>45144</v>
      </c>
      <c r="C587" s="1" t="s">
        <v>1180</v>
      </c>
      <c r="D587" s="1" t="s">
        <v>43</v>
      </c>
      <c r="E587" s="1">
        <v>45</v>
      </c>
      <c r="F587" s="1" t="s">
        <v>628</v>
      </c>
    </row>
    <row r="588" spans="1:6" x14ac:dyDescent="0.3">
      <c r="A588" s="1" t="s">
        <v>1857</v>
      </c>
      <c r="B588" s="13">
        <v>45144</v>
      </c>
      <c r="C588" s="1" t="s">
        <v>1177</v>
      </c>
      <c r="D588" s="1" t="s">
        <v>43</v>
      </c>
      <c r="E588" s="1">
        <v>74</v>
      </c>
      <c r="F588" s="1" t="s">
        <v>629</v>
      </c>
    </row>
    <row r="589" spans="1:6" x14ac:dyDescent="0.3">
      <c r="A589" s="1" t="s">
        <v>1858</v>
      </c>
      <c r="B589" s="13">
        <v>45145</v>
      </c>
      <c r="C589" s="1" t="s">
        <v>1126</v>
      </c>
      <c r="D589" s="1" t="s">
        <v>41</v>
      </c>
      <c r="E589" s="1">
        <v>88</v>
      </c>
      <c r="F589" s="1" t="s">
        <v>630</v>
      </c>
    </row>
    <row r="590" spans="1:6" x14ac:dyDescent="0.3">
      <c r="A590" s="1" t="s">
        <v>1859</v>
      </c>
      <c r="B590" s="13">
        <v>45145</v>
      </c>
      <c r="C590" s="1" t="s">
        <v>1244</v>
      </c>
      <c r="D590" s="1" t="s">
        <v>41</v>
      </c>
      <c r="E590" s="1">
        <v>50</v>
      </c>
      <c r="F590" s="1" t="s">
        <v>631</v>
      </c>
    </row>
    <row r="591" spans="1:6" x14ac:dyDescent="0.3">
      <c r="A591" s="1" t="s">
        <v>1860</v>
      </c>
      <c r="B591" s="13">
        <v>45146</v>
      </c>
      <c r="C591" s="1" t="s">
        <v>1108</v>
      </c>
      <c r="D591" s="1" t="s">
        <v>41</v>
      </c>
      <c r="E591" s="1">
        <v>10</v>
      </c>
      <c r="F591" s="1" t="s">
        <v>632</v>
      </c>
    </row>
    <row r="592" spans="1:6" x14ac:dyDescent="0.3">
      <c r="A592" s="1" t="s">
        <v>1861</v>
      </c>
      <c r="B592" s="13">
        <v>45146</v>
      </c>
      <c r="C592" s="1" t="s">
        <v>1185</v>
      </c>
      <c r="D592" s="1" t="s">
        <v>41</v>
      </c>
      <c r="E592" s="1">
        <v>87</v>
      </c>
      <c r="F592" s="1" t="s">
        <v>633</v>
      </c>
    </row>
    <row r="593" spans="1:6" x14ac:dyDescent="0.3">
      <c r="A593" s="1" t="s">
        <v>1862</v>
      </c>
      <c r="B593" s="13">
        <v>45147</v>
      </c>
      <c r="C593" s="1" t="s">
        <v>1218</v>
      </c>
      <c r="D593" s="1" t="s">
        <v>41</v>
      </c>
      <c r="E593" s="1">
        <v>38</v>
      </c>
      <c r="F593" s="1" t="s">
        <v>634</v>
      </c>
    </row>
    <row r="594" spans="1:6" x14ac:dyDescent="0.3">
      <c r="A594" s="1" t="s">
        <v>1863</v>
      </c>
      <c r="B594" s="13">
        <v>45148</v>
      </c>
      <c r="C594" s="1" t="s">
        <v>1097</v>
      </c>
      <c r="D594" s="1" t="s">
        <v>41</v>
      </c>
      <c r="E594" s="1">
        <v>61</v>
      </c>
      <c r="F594" s="1" t="s">
        <v>635</v>
      </c>
    </row>
    <row r="595" spans="1:6" x14ac:dyDescent="0.3">
      <c r="A595" s="1" t="s">
        <v>1864</v>
      </c>
      <c r="B595" s="13">
        <v>45148</v>
      </c>
      <c r="C595" s="1" t="s">
        <v>1202</v>
      </c>
      <c r="D595" s="1" t="s">
        <v>43</v>
      </c>
      <c r="E595" s="1">
        <v>81</v>
      </c>
      <c r="F595" s="1" t="s">
        <v>636</v>
      </c>
    </row>
    <row r="596" spans="1:6" x14ac:dyDescent="0.3">
      <c r="A596" s="1" t="s">
        <v>1865</v>
      </c>
      <c r="B596" s="13">
        <v>45148</v>
      </c>
      <c r="C596" s="1" t="s">
        <v>1159</v>
      </c>
      <c r="D596" s="1" t="s">
        <v>43</v>
      </c>
      <c r="E596" s="1">
        <v>89</v>
      </c>
      <c r="F596" s="1" t="s">
        <v>637</v>
      </c>
    </row>
    <row r="597" spans="1:6" x14ac:dyDescent="0.3">
      <c r="A597" s="1" t="s">
        <v>1866</v>
      </c>
      <c r="B597" s="13">
        <v>45148</v>
      </c>
      <c r="C597" s="1" t="s">
        <v>1263</v>
      </c>
      <c r="D597" s="1" t="s">
        <v>43</v>
      </c>
      <c r="E597" s="1">
        <v>58</v>
      </c>
      <c r="F597" s="1" t="s">
        <v>638</v>
      </c>
    </row>
    <row r="598" spans="1:6" x14ac:dyDescent="0.3">
      <c r="A598" s="1" t="s">
        <v>1867</v>
      </c>
      <c r="B598" s="13">
        <v>45149</v>
      </c>
      <c r="C598" s="1" t="s">
        <v>1087</v>
      </c>
      <c r="D598" s="1" t="s">
        <v>43</v>
      </c>
      <c r="E598" s="1">
        <v>39</v>
      </c>
      <c r="F598" s="1" t="s">
        <v>639</v>
      </c>
    </row>
    <row r="599" spans="1:6" x14ac:dyDescent="0.3">
      <c r="A599" s="1" t="s">
        <v>1868</v>
      </c>
      <c r="B599" s="13">
        <v>45149</v>
      </c>
      <c r="C599" s="1" t="s">
        <v>1246</v>
      </c>
      <c r="D599" s="1" t="s">
        <v>41</v>
      </c>
      <c r="E599" s="1">
        <v>95</v>
      </c>
      <c r="F599" s="1" t="s">
        <v>640</v>
      </c>
    </row>
    <row r="600" spans="1:6" x14ac:dyDescent="0.3">
      <c r="A600" s="1" t="s">
        <v>1869</v>
      </c>
      <c r="B600" s="13">
        <v>45149</v>
      </c>
      <c r="C600" s="1" t="s">
        <v>1180</v>
      </c>
      <c r="D600" s="1" t="s">
        <v>43</v>
      </c>
      <c r="E600" s="1">
        <v>67</v>
      </c>
      <c r="F600" s="1" t="s">
        <v>641</v>
      </c>
    </row>
    <row r="601" spans="1:6" x14ac:dyDescent="0.3">
      <c r="A601" s="1" t="s">
        <v>1870</v>
      </c>
      <c r="B601" s="13">
        <v>45149</v>
      </c>
      <c r="C601" s="1" t="s">
        <v>1146</v>
      </c>
      <c r="D601" s="1" t="s">
        <v>43</v>
      </c>
      <c r="E601" s="1">
        <v>50</v>
      </c>
      <c r="F601" s="1" t="s">
        <v>642</v>
      </c>
    </row>
    <row r="602" spans="1:6" x14ac:dyDescent="0.3">
      <c r="A602" s="1" t="s">
        <v>1871</v>
      </c>
      <c r="B602" s="13">
        <v>45149</v>
      </c>
      <c r="C602" s="1" t="s">
        <v>1108</v>
      </c>
      <c r="D602" s="1" t="s">
        <v>43</v>
      </c>
      <c r="E602" s="1">
        <v>10</v>
      </c>
      <c r="F602" s="1" t="s">
        <v>643</v>
      </c>
    </row>
    <row r="603" spans="1:6" x14ac:dyDescent="0.3">
      <c r="A603" s="1" t="s">
        <v>1872</v>
      </c>
      <c r="B603" s="13">
        <v>45150</v>
      </c>
      <c r="C603" s="1" t="s">
        <v>1217</v>
      </c>
      <c r="D603" s="1" t="s">
        <v>43</v>
      </c>
      <c r="E603" s="1">
        <v>59</v>
      </c>
      <c r="F603" s="1" t="s">
        <v>644</v>
      </c>
    </row>
    <row r="604" spans="1:6" x14ac:dyDescent="0.3">
      <c r="A604" s="1" t="s">
        <v>1873</v>
      </c>
      <c r="B604" s="13">
        <v>45150</v>
      </c>
      <c r="C604" s="1" t="s">
        <v>1262</v>
      </c>
      <c r="D604" s="1" t="s">
        <v>41</v>
      </c>
      <c r="E604" s="1">
        <v>17</v>
      </c>
      <c r="F604" s="1" t="s">
        <v>645</v>
      </c>
    </row>
    <row r="605" spans="1:6" x14ac:dyDescent="0.3">
      <c r="A605" s="1" t="s">
        <v>1874</v>
      </c>
      <c r="B605" s="13">
        <v>45150</v>
      </c>
      <c r="C605" s="1" t="s">
        <v>1151</v>
      </c>
      <c r="D605" s="1" t="s">
        <v>41</v>
      </c>
      <c r="E605" s="1">
        <v>74</v>
      </c>
      <c r="F605" s="1" t="s">
        <v>646</v>
      </c>
    </row>
    <row r="606" spans="1:6" x14ac:dyDescent="0.3">
      <c r="A606" s="1" t="s">
        <v>1875</v>
      </c>
      <c r="B606" s="13">
        <v>45150</v>
      </c>
      <c r="C606" s="1" t="s">
        <v>1189</v>
      </c>
      <c r="D606" s="1" t="s">
        <v>43</v>
      </c>
      <c r="E606" s="1">
        <v>91</v>
      </c>
      <c r="F606" s="1" t="s">
        <v>647</v>
      </c>
    </row>
    <row r="607" spans="1:6" x14ac:dyDescent="0.3">
      <c r="A607" s="1" t="s">
        <v>1876</v>
      </c>
      <c r="B607" s="13">
        <v>45150</v>
      </c>
      <c r="C607" s="1" t="s">
        <v>1220</v>
      </c>
      <c r="D607" s="1" t="s">
        <v>43</v>
      </c>
      <c r="E607" s="1">
        <v>89</v>
      </c>
      <c r="F607" s="1" t="s">
        <v>648</v>
      </c>
    </row>
    <row r="608" spans="1:6" x14ac:dyDescent="0.3">
      <c r="A608" s="1" t="s">
        <v>1877</v>
      </c>
      <c r="B608" s="13">
        <v>45151</v>
      </c>
      <c r="C608" s="1" t="s">
        <v>1129</v>
      </c>
      <c r="D608" s="1" t="s">
        <v>41</v>
      </c>
      <c r="E608" s="1">
        <v>72</v>
      </c>
      <c r="F608" s="1" t="s">
        <v>649</v>
      </c>
    </row>
    <row r="609" spans="1:6" x14ac:dyDescent="0.3">
      <c r="A609" s="1" t="s">
        <v>1878</v>
      </c>
      <c r="B609" s="13">
        <v>45151</v>
      </c>
      <c r="C609" s="1" t="s">
        <v>1176</v>
      </c>
      <c r="D609" s="1" t="s">
        <v>41</v>
      </c>
      <c r="E609" s="1">
        <v>25</v>
      </c>
      <c r="F609" s="1" t="s">
        <v>650</v>
      </c>
    </row>
    <row r="610" spans="1:6" x14ac:dyDescent="0.3">
      <c r="A610" s="1" t="s">
        <v>1879</v>
      </c>
      <c r="B610" s="13">
        <v>45151</v>
      </c>
      <c r="C610" s="1" t="s">
        <v>1216</v>
      </c>
      <c r="D610" s="1" t="s">
        <v>41</v>
      </c>
      <c r="E610" s="1">
        <v>40</v>
      </c>
      <c r="F610" s="1" t="s">
        <v>651</v>
      </c>
    </row>
    <row r="611" spans="1:6" x14ac:dyDescent="0.3">
      <c r="A611" s="1" t="s">
        <v>1880</v>
      </c>
      <c r="B611" s="13">
        <v>45152</v>
      </c>
      <c r="C611" s="1" t="s">
        <v>1208</v>
      </c>
      <c r="D611" s="1" t="s">
        <v>43</v>
      </c>
      <c r="E611" s="1">
        <v>75</v>
      </c>
      <c r="F611" s="1" t="s">
        <v>652</v>
      </c>
    </row>
    <row r="612" spans="1:6" x14ac:dyDescent="0.3">
      <c r="A612" s="1" t="s">
        <v>1881</v>
      </c>
      <c r="B612" s="13">
        <v>45152</v>
      </c>
      <c r="C612" s="1" t="s">
        <v>1115</v>
      </c>
      <c r="D612" s="1" t="s">
        <v>41</v>
      </c>
      <c r="E612" s="1">
        <v>85</v>
      </c>
      <c r="F612" s="1" t="s">
        <v>653</v>
      </c>
    </row>
    <row r="613" spans="1:6" x14ac:dyDescent="0.3">
      <c r="A613" s="1" t="s">
        <v>1882</v>
      </c>
      <c r="B613" s="13">
        <v>45152</v>
      </c>
      <c r="C613" s="1" t="s">
        <v>1225</v>
      </c>
      <c r="D613" s="1" t="s">
        <v>41</v>
      </c>
      <c r="E613" s="1">
        <v>41</v>
      </c>
      <c r="F613" s="1" t="s">
        <v>654</v>
      </c>
    </row>
    <row r="614" spans="1:6" x14ac:dyDescent="0.3">
      <c r="A614" s="1" t="s">
        <v>1883</v>
      </c>
      <c r="B614" s="13">
        <v>45152</v>
      </c>
      <c r="C614" s="1" t="s">
        <v>1238</v>
      </c>
      <c r="D614" s="1" t="s">
        <v>41</v>
      </c>
      <c r="E614" s="1">
        <v>92</v>
      </c>
      <c r="F614" s="1" t="s">
        <v>655</v>
      </c>
    </row>
    <row r="615" spans="1:6" x14ac:dyDescent="0.3">
      <c r="A615" s="1" t="s">
        <v>1884</v>
      </c>
      <c r="B615" s="13">
        <v>45152</v>
      </c>
      <c r="C615" s="1" t="s">
        <v>1112</v>
      </c>
      <c r="D615" s="1" t="s">
        <v>43</v>
      </c>
      <c r="E615" s="1">
        <v>51</v>
      </c>
      <c r="F615" s="1" t="s">
        <v>656</v>
      </c>
    </row>
    <row r="616" spans="1:6" x14ac:dyDescent="0.3">
      <c r="A616" s="1" t="s">
        <v>1885</v>
      </c>
      <c r="B616" s="13">
        <v>45152</v>
      </c>
      <c r="C616" s="1" t="s">
        <v>1089</v>
      </c>
      <c r="D616" s="1" t="s">
        <v>43</v>
      </c>
      <c r="E616" s="1">
        <v>98</v>
      </c>
      <c r="F616" s="1" t="s">
        <v>657</v>
      </c>
    </row>
    <row r="617" spans="1:6" x14ac:dyDescent="0.3">
      <c r="A617" s="1" t="s">
        <v>1886</v>
      </c>
      <c r="B617" s="13">
        <v>45152</v>
      </c>
      <c r="C617" s="1" t="s">
        <v>1111</v>
      </c>
      <c r="D617" s="1" t="s">
        <v>41</v>
      </c>
      <c r="E617" s="1">
        <v>100</v>
      </c>
      <c r="F617" s="1" t="s">
        <v>658</v>
      </c>
    </row>
    <row r="618" spans="1:6" x14ac:dyDescent="0.3">
      <c r="A618" s="1" t="s">
        <v>1887</v>
      </c>
      <c r="B618" s="13">
        <v>45153</v>
      </c>
      <c r="C618" s="1" t="s">
        <v>1242</v>
      </c>
      <c r="D618" s="1" t="s">
        <v>41</v>
      </c>
      <c r="E618" s="1">
        <v>43</v>
      </c>
      <c r="F618" s="1" t="s">
        <v>659</v>
      </c>
    </row>
    <row r="619" spans="1:6" x14ac:dyDescent="0.3">
      <c r="A619" s="1" t="s">
        <v>1888</v>
      </c>
      <c r="B619" s="13">
        <v>45153</v>
      </c>
      <c r="C619" s="1" t="s">
        <v>1123</v>
      </c>
      <c r="D619" s="1" t="s">
        <v>43</v>
      </c>
      <c r="E619" s="1">
        <v>31</v>
      </c>
      <c r="F619" s="1" t="s">
        <v>660</v>
      </c>
    </row>
    <row r="620" spans="1:6" x14ac:dyDescent="0.3">
      <c r="A620" s="1" t="s">
        <v>1889</v>
      </c>
      <c r="B620" s="13">
        <v>45153</v>
      </c>
      <c r="C620" s="1" t="s">
        <v>1202</v>
      </c>
      <c r="D620" s="1" t="s">
        <v>43</v>
      </c>
      <c r="E620" s="1">
        <v>12</v>
      </c>
      <c r="F620" s="1" t="s">
        <v>661</v>
      </c>
    </row>
    <row r="621" spans="1:6" x14ac:dyDescent="0.3">
      <c r="A621" s="1" t="s">
        <v>1890</v>
      </c>
      <c r="B621" s="13">
        <v>45153</v>
      </c>
      <c r="C621" s="1" t="s">
        <v>1136</v>
      </c>
      <c r="D621" s="1" t="s">
        <v>43</v>
      </c>
      <c r="E621" s="1">
        <v>40</v>
      </c>
      <c r="F621" s="1" t="s">
        <v>662</v>
      </c>
    </row>
    <row r="622" spans="1:6" x14ac:dyDescent="0.3">
      <c r="A622" s="1" t="s">
        <v>1891</v>
      </c>
      <c r="B622" s="13">
        <v>45153</v>
      </c>
      <c r="C622" s="1" t="s">
        <v>1172</v>
      </c>
      <c r="D622" s="1" t="s">
        <v>43</v>
      </c>
      <c r="E622" s="1">
        <v>57</v>
      </c>
      <c r="F622" s="1" t="s">
        <v>663</v>
      </c>
    </row>
    <row r="623" spans="1:6" x14ac:dyDescent="0.3">
      <c r="A623" s="1" t="s">
        <v>1892</v>
      </c>
      <c r="B623" s="13">
        <v>45153</v>
      </c>
      <c r="C623" s="1" t="s">
        <v>1260</v>
      </c>
      <c r="D623" s="1" t="s">
        <v>43</v>
      </c>
      <c r="E623" s="1">
        <v>24</v>
      </c>
      <c r="F623" s="1" t="s">
        <v>664</v>
      </c>
    </row>
    <row r="624" spans="1:6" x14ac:dyDescent="0.3">
      <c r="A624" s="1" t="s">
        <v>1893</v>
      </c>
      <c r="B624" s="13">
        <v>45154</v>
      </c>
      <c r="C624" s="1" t="s">
        <v>1212</v>
      </c>
      <c r="D624" s="1" t="s">
        <v>43</v>
      </c>
      <c r="E624" s="1">
        <v>75</v>
      </c>
      <c r="F624" s="1" t="s">
        <v>665</v>
      </c>
    </row>
    <row r="625" spans="1:6" x14ac:dyDescent="0.3">
      <c r="A625" s="1" t="s">
        <v>1894</v>
      </c>
      <c r="B625" s="13">
        <v>45154</v>
      </c>
      <c r="C625" s="1" t="s">
        <v>1186</v>
      </c>
      <c r="D625" s="1" t="s">
        <v>43</v>
      </c>
      <c r="E625" s="1">
        <v>60</v>
      </c>
      <c r="F625" s="1" t="s">
        <v>666</v>
      </c>
    </row>
    <row r="626" spans="1:6" x14ac:dyDescent="0.3">
      <c r="A626" s="1" t="s">
        <v>1895</v>
      </c>
      <c r="B626" s="13">
        <v>45154</v>
      </c>
      <c r="C626" s="1" t="s">
        <v>1201</v>
      </c>
      <c r="D626" s="1" t="s">
        <v>41</v>
      </c>
      <c r="E626" s="1">
        <v>56</v>
      </c>
      <c r="F626" s="1" t="s">
        <v>667</v>
      </c>
    </row>
    <row r="627" spans="1:6" x14ac:dyDescent="0.3">
      <c r="A627" s="1" t="s">
        <v>1896</v>
      </c>
      <c r="B627" s="13">
        <v>45155</v>
      </c>
      <c r="C627" s="1" t="s">
        <v>1203</v>
      </c>
      <c r="D627" s="1" t="s">
        <v>43</v>
      </c>
      <c r="E627" s="1">
        <v>88</v>
      </c>
      <c r="F627" s="1" t="s">
        <v>668</v>
      </c>
    </row>
    <row r="628" spans="1:6" x14ac:dyDescent="0.3">
      <c r="A628" s="1" t="s">
        <v>1897</v>
      </c>
      <c r="B628" s="13">
        <v>45155</v>
      </c>
      <c r="C628" s="1" t="s">
        <v>1165</v>
      </c>
      <c r="D628" s="1" t="s">
        <v>43</v>
      </c>
      <c r="E628" s="1">
        <v>53</v>
      </c>
      <c r="F628" s="1" t="s">
        <v>669</v>
      </c>
    </row>
    <row r="629" spans="1:6" x14ac:dyDescent="0.3">
      <c r="A629" s="1" t="s">
        <v>1898</v>
      </c>
      <c r="B629" s="13">
        <v>45155</v>
      </c>
      <c r="C629" s="1" t="s">
        <v>1197</v>
      </c>
      <c r="D629" s="1" t="s">
        <v>41</v>
      </c>
      <c r="E629" s="1">
        <v>22</v>
      </c>
      <c r="F629" s="1" t="s">
        <v>670</v>
      </c>
    </row>
    <row r="630" spans="1:6" x14ac:dyDescent="0.3">
      <c r="A630" s="1" t="s">
        <v>1899</v>
      </c>
      <c r="B630" s="13">
        <v>45155</v>
      </c>
      <c r="C630" s="1" t="s">
        <v>1195</v>
      </c>
      <c r="D630" s="1" t="s">
        <v>41</v>
      </c>
      <c r="E630" s="1">
        <v>41</v>
      </c>
      <c r="F630" s="1" t="s">
        <v>671</v>
      </c>
    </row>
    <row r="631" spans="1:6" x14ac:dyDescent="0.3">
      <c r="A631" s="1" t="s">
        <v>1900</v>
      </c>
      <c r="B631" s="13">
        <v>45155</v>
      </c>
      <c r="C631" s="1" t="s">
        <v>1126</v>
      </c>
      <c r="D631" s="1" t="s">
        <v>41</v>
      </c>
      <c r="E631" s="1">
        <v>70</v>
      </c>
      <c r="F631" s="1" t="s">
        <v>672</v>
      </c>
    </row>
    <row r="632" spans="1:6" x14ac:dyDescent="0.3">
      <c r="A632" s="1" t="s">
        <v>1901</v>
      </c>
      <c r="B632" s="13">
        <v>45157</v>
      </c>
      <c r="C632" s="1" t="s">
        <v>1201</v>
      </c>
      <c r="D632" s="1" t="s">
        <v>43</v>
      </c>
      <c r="E632" s="1">
        <v>73</v>
      </c>
      <c r="F632" s="1" t="s">
        <v>673</v>
      </c>
    </row>
    <row r="633" spans="1:6" x14ac:dyDescent="0.3">
      <c r="A633" s="1" t="s">
        <v>1902</v>
      </c>
      <c r="B633" s="13">
        <v>45158</v>
      </c>
      <c r="C633" s="1" t="s">
        <v>1210</v>
      </c>
      <c r="D633" s="1" t="s">
        <v>43</v>
      </c>
      <c r="E633" s="1">
        <v>94</v>
      </c>
      <c r="F633" s="1" t="s">
        <v>674</v>
      </c>
    </row>
    <row r="634" spans="1:6" x14ac:dyDescent="0.3">
      <c r="A634" s="1" t="s">
        <v>1903</v>
      </c>
      <c r="B634" s="13">
        <v>45159</v>
      </c>
      <c r="C634" s="1" t="s">
        <v>1091</v>
      </c>
      <c r="D634" s="1" t="s">
        <v>41</v>
      </c>
      <c r="E634" s="1">
        <f>68+51</f>
        <v>119</v>
      </c>
      <c r="F634" s="1" t="s">
        <v>675</v>
      </c>
    </row>
    <row r="635" spans="1:6" x14ac:dyDescent="0.3">
      <c r="A635" s="1" t="s">
        <v>1904</v>
      </c>
      <c r="B635" s="13">
        <v>45159</v>
      </c>
      <c r="C635" s="1" t="s">
        <v>1210</v>
      </c>
      <c r="D635" s="1" t="s">
        <v>43</v>
      </c>
      <c r="E635" s="1">
        <v>66</v>
      </c>
      <c r="F635" s="1" t="s">
        <v>676</v>
      </c>
    </row>
    <row r="636" spans="1:6" x14ac:dyDescent="0.3">
      <c r="A636" s="1" t="s">
        <v>1905</v>
      </c>
      <c r="B636" s="13">
        <v>45159</v>
      </c>
      <c r="C636" s="1" t="s">
        <v>1242</v>
      </c>
      <c r="D636" s="1" t="s">
        <v>41</v>
      </c>
      <c r="E636" s="1">
        <v>93</v>
      </c>
      <c r="F636" s="1" t="s">
        <v>677</v>
      </c>
    </row>
    <row r="637" spans="1:6" x14ac:dyDescent="0.3">
      <c r="A637" s="1" t="s">
        <v>1906</v>
      </c>
      <c r="B637" s="13">
        <v>45160</v>
      </c>
      <c r="C637" s="1" t="s">
        <v>1238</v>
      </c>
      <c r="D637" s="1" t="s">
        <v>41</v>
      </c>
      <c r="E637" s="1">
        <v>56</v>
      </c>
      <c r="F637" s="1" t="s">
        <v>678</v>
      </c>
    </row>
    <row r="638" spans="1:6" x14ac:dyDescent="0.3">
      <c r="A638" s="1" t="s">
        <v>1907</v>
      </c>
      <c r="B638" s="13">
        <v>45161</v>
      </c>
      <c r="C638" s="1" t="s">
        <v>1256</v>
      </c>
      <c r="D638" s="1" t="s">
        <v>43</v>
      </c>
      <c r="E638" s="1">
        <v>82</v>
      </c>
      <c r="F638" s="1" t="s">
        <v>679</v>
      </c>
    </row>
    <row r="639" spans="1:6" x14ac:dyDescent="0.3">
      <c r="A639" s="1" t="s">
        <v>1908</v>
      </c>
      <c r="B639" s="13">
        <v>45161</v>
      </c>
      <c r="C639" s="1" t="s">
        <v>1159</v>
      </c>
      <c r="D639" s="1" t="s">
        <v>43</v>
      </c>
      <c r="E639" s="1">
        <v>11</v>
      </c>
      <c r="F639" s="1" t="s">
        <v>680</v>
      </c>
    </row>
    <row r="640" spans="1:6" x14ac:dyDescent="0.3">
      <c r="A640" s="1" t="s">
        <v>1909</v>
      </c>
      <c r="B640" s="13">
        <v>45162</v>
      </c>
      <c r="C640" s="1" t="s">
        <v>1156</v>
      </c>
      <c r="D640" s="1" t="s">
        <v>43</v>
      </c>
      <c r="E640" s="1">
        <v>31</v>
      </c>
      <c r="F640" s="1" t="s">
        <v>681</v>
      </c>
    </row>
    <row r="641" spans="1:6" x14ac:dyDescent="0.3">
      <c r="A641" s="1" t="s">
        <v>1910</v>
      </c>
      <c r="B641" s="13">
        <v>45162</v>
      </c>
      <c r="C641" s="1" t="s">
        <v>1120</v>
      </c>
      <c r="D641" s="1" t="s">
        <v>43</v>
      </c>
      <c r="E641" s="1">
        <v>97</v>
      </c>
      <c r="F641" s="1" t="s">
        <v>682</v>
      </c>
    </row>
    <row r="642" spans="1:6" x14ac:dyDescent="0.3">
      <c r="A642" s="1" t="s">
        <v>1911</v>
      </c>
      <c r="B642" s="13">
        <v>45162</v>
      </c>
      <c r="C642" s="1" t="s">
        <v>1226</v>
      </c>
      <c r="D642" s="1" t="s">
        <v>43</v>
      </c>
      <c r="E642" s="1">
        <v>74</v>
      </c>
      <c r="F642" s="1" t="s">
        <v>683</v>
      </c>
    </row>
    <row r="643" spans="1:6" x14ac:dyDescent="0.3">
      <c r="A643" s="1" t="s">
        <v>1912</v>
      </c>
      <c r="B643" s="13">
        <v>45162</v>
      </c>
      <c r="C643" s="1" t="s">
        <v>1189</v>
      </c>
      <c r="D643" s="1" t="s">
        <v>41</v>
      </c>
      <c r="E643" s="1">
        <v>44</v>
      </c>
      <c r="F643" s="1" t="s">
        <v>684</v>
      </c>
    </row>
    <row r="644" spans="1:6" x14ac:dyDescent="0.3">
      <c r="A644" s="1" t="s">
        <v>1913</v>
      </c>
      <c r="B644" s="13">
        <v>45162</v>
      </c>
      <c r="C644" s="1" t="s">
        <v>1212</v>
      </c>
      <c r="D644" s="1" t="s">
        <v>43</v>
      </c>
      <c r="E644" s="1">
        <v>33</v>
      </c>
      <c r="F644" s="1" t="s">
        <v>685</v>
      </c>
    </row>
    <row r="645" spans="1:6" x14ac:dyDescent="0.3">
      <c r="A645" s="1" t="s">
        <v>1914</v>
      </c>
      <c r="B645" s="13">
        <v>45162</v>
      </c>
      <c r="C645" s="1" t="s">
        <v>1246</v>
      </c>
      <c r="D645" s="1" t="s">
        <v>41</v>
      </c>
      <c r="E645" s="1">
        <v>88</v>
      </c>
      <c r="F645" s="1" t="s">
        <v>686</v>
      </c>
    </row>
    <row r="646" spans="1:6" x14ac:dyDescent="0.3">
      <c r="A646" s="1" t="s">
        <v>1915</v>
      </c>
      <c r="B646" s="13">
        <v>45163</v>
      </c>
      <c r="C646" s="1" t="s">
        <v>1202</v>
      </c>
      <c r="D646" s="1" t="s">
        <v>43</v>
      </c>
      <c r="E646" s="1">
        <v>14</v>
      </c>
      <c r="F646" s="1" t="s">
        <v>687</v>
      </c>
    </row>
    <row r="647" spans="1:6" x14ac:dyDescent="0.3">
      <c r="A647" s="1" t="s">
        <v>1916</v>
      </c>
      <c r="B647" s="13">
        <v>45163</v>
      </c>
      <c r="C647" s="1" t="s">
        <v>1122</v>
      </c>
      <c r="D647" s="1" t="s">
        <v>43</v>
      </c>
      <c r="E647" s="1">
        <v>36</v>
      </c>
      <c r="F647" s="1" t="s">
        <v>688</v>
      </c>
    </row>
    <row r="648" spans="1:6" x14ac:dyDescent="0.3">
      <c r="A648" s="1" t="s">
        <v>1917</v>
      </c>
      <c r="B648" s="13">
        <v>45163</v>
      </c>
      <c r="C648" s="1" t="s">
        <v>1266</v>
      </c>
      <c r="D648" s="1" t="s">
        <v>41</v>
      </c>
      <c r="E648" s="1">
        <v>56</v>
      </c>
      <c r="F648" s="1" t="s">
        <v>689</v>
      </c>
    </row>
    <row r="649" spans="1:6" x14ac:dyDescent="0.3">
      <c r="A649" s="1" t="s">
        <v>1918</v>
      </c>
      <c r="B649" s="13">
        <v>45163</v>
      </c>
      <c r="C649" s="1" t="s">
        <v>1112</v>
      </c>
      <c r="D649" s="1" t="s">
        <v>41</v>
      </c>
      <c r="E649" s="1">
        <v>44</v>
      </c>
      <c r="F649" s="1" t="s">
        <v>690</v>
      </c>
    </row>
    <row r="650" spans="1:6" x14ac:dyDescent="0.3">
      <c r="A650" s="1" t="s">
        <v>1919</v>
      </c>
      <c r="B650" s="13">
        <v>45164</v>
      </c>
      <c r="C650" s="1" t="s">
        <v>1222</v>
      </c>
      <c r="D650" s="1" t="s">
        <v>43</v>
      </c>
      <c r="E650" s="1">
        <v>33</v>
      </c>
      <c r="F650" s="1" t="s">
        <v>691</v>
      </c>
    </row>
    <row r="651" spans="1:6" x14ac:dyDescent="0.3">
      <c r="A651" s="1" t="s">
        <v>1920</v>
      </c>
      <c r="B651" s="13">
        <v>45165</v>
      </c>
      <c r="C651" s="1" t="s">
        <v>1217</v>
      </c>
      <c r="D651" s="1" t="s">
        <v>43</v>
      </c>
      <c r="E651" s="1">
        <v>53</v>
      </c>
      <c r="F651" s="1" t="s">
        <v>692</v>
      </c>
    </row>
    <row r="652" spans="1:6" x14ac:dyDescent="0.3">
      <c r="A652" s="1" t="s">
        <v>1921</v>
      </c>
      <c r="B652" s="13">
        <v>45165</v>
      </c>
      <c r="C652" s="1" t="s">
        <v>1132</v>
      </c>
      <c r="D652" s="1" t="s">
        <v>41</v>
      </c>
      <c r="E652" s="1">
        <v>96</v>
      </c>
      <c r="F652" s="1" t="s">
        <v>693</v>
      </c>
    </row>
    <row r="653" spans="1:6" x14ac:dyDescent="0.3">
      <c r="A653" s="1" t="s">
        <v>1922</v>
      </c>
      <c r="B653" s="13">
        <v>45165</v>
      </c>
      <c r="C653" s="1" t="s">
        <v>1206</v>
      </c>
      <c r="D653" s="1" t="s">
        <v>43</v>
      </c>
      <c r="E653" s="1">
        <v>48</v>
      </c>
      <c r="F653" s="1" t="s">
        <v>694</v>
      </c>
    </row>
    <row r="654" spans="1:6" x14ac:dyDescent="0.3">
      <c r="A654" s="1" t="s">
        <v>1923</v>
      </c>
      <c r="B654" s="13">
        <v>45167</v>
      </c>
      <c r="C654" s="1" t="s">
        <v>1122</v>
      </c>
      <c r="D654" s="1" t="s">
        <v>43</v>
      </c>
      <c r="E654" s="1">
        <v>96</v>
      </c>
      <c r="F654" s="1" t="s">
        <v>695</v>
      </c>
    </row>
    <row r="655" spans="1:6" x14ac:dyDescent="0.3">
      <c r="A655" s="1" t="s">
        <v>1924</v>
      </c>
      <c r="B655" s="13">
        <v>45167</v>
      </c>
      <c r="C655" s="1" t="s">
        <v>1186</v>
      </c>
      <c r="D655" s="1" t="s">
        <v>43</v>
      </c>
      <c r="E655" s="1">
        <v>58</v>
      </c>
      <c r="F655" s="1" t="s">
        <v>696</v>
      </c>
    </row>
    <row r="656" spans="1:6" x14ac:dyDescent="0.3">
      <c r="A656" s="1" t="s">
        <v>1925</v>
      </c>
      <c r="B656" s="13">
        <v>45168</v>
      </c>
      <c r="C656" s="1" t="s">
        <v>1156</v>
      </c>
      <c r="D656" s="1" t="s">
        <v>41</v>
      </c>
      <c r="E656" s="1">
        <v>45</v>
      </c>
      <c r="F656" s="1" t="s">
        <v>697</v>
      </c>
    </row>
    <row r="657" spans="1:6" x14ac:dyDescent="0.3">
      <c r="A657" s="1" t="s">
        <v>1926</v>
      </c>
      <c r="B657" s="13">
        <v>45168</v>
      </c>
      <c r="C657" s="1" t="s">
        <v>1208</v>
      </c>
      <c r="D657" s="1" t="s">
        <v>43</v>
      </c>
      <c r="E657" s="1">
        <v>24</v>
      </c>
      <c r="F657" s="1" t="s">
        <v>698</v>
      </c>
    </row>
    <row r="658" spans="1:6" x14ac:dyDescent="0.3">
      <c r="A658" s="1" t="s">
        <v>1927</v>
      </c>
      <c r="B658" s="13">
        <v>45169</v>
      </c>
      <c r="C658" s="1" t="s">
        <v>1231</v>
      </c>
      <c r="D658" s="1" t="s">
        <v>43</v>
      </c>
      <c r="E658" s="1">
        <v>94</v>
      </c>
      <c r="F658" s="1" t="s">
        <v>699</v>
      </c>
    </row>
    <row r="659" spans="1:6" x14ac:dyDescent="0.3">
      <c r="A659" s="1" t="s">
        <v>1928</v>
      </c>
      <c r="B659" s="13">
        <v>45169</v>
      </c>
      <c r="C659" s="1" t="s">
        <v>1122</v>
      </c>
      <c r="D659" s="1" t="s">
        <v>41</v>
      </c>
      <c r="E659" s="1">
        <v>86</v>
      </c>
      <c r="F659" s="1" t="s">
        <v>700</v>
      </c>
    </row>
    <row r="660" spans="1:6" x14ac:dyDescent="0.3">
      <c r="A660" s="1" t="s">
        <v>1929</v>
      </c>
      <c r="B660" s="13">
        <v>45169</v>
      </c>
      <c r="C660" s="1" t="s">
        <v>1165</v>
      </c>
      <c r="D660" s="1" t="s">
        <v>41</v>
      </c>
      <c r="E660" s="1">
        <v>20</v>
      </c>
      <c r="F660" s="1" t="s">
        <v>701</v>
      </c>
    </row>
    <row r="661" spans="1:6" x14ac:dyDescent="0.3">
      <c r="A661" s="1" t="s">
        <v>1930</v>
      </c>
      <c r="B661" s="13">
        <v>45169</v>
      </c>
      <c r="C661" s="1" t="s">
        <v>1258</v>
      </c>
      <c r="D661" s="1" t="s">
        <v>43</v>
      </c>
      <c r="E661" s="1">
        <v>85</v>
      </c>
      <c r="F661" s="1" t="s">
        <v>702</v>
      </c>
    </row>
    <row r="662" spans="1:6" x14ac:dyDescent="0.3">
      <c r="A662" s="1" t="s">
        <v>1931</v>
      </c>
      <c r="B662" s="13">
        <v>45169</v>
      </c>
      <c r="C662" s="1" t="s">
        <v>1238</v>
      </c>
      <c r="D662" s="1" t="s">
        <v>43</v>
      </c>
      <c r="E662" s="1">
        <v>30</v>
      </c>
      <c r="F662" s="1" t="s">
        <v>703</v>
      </c>
    </row>
    <row r="663" spans="1:6" x14ac:dyDescent="0.3">
      <c r="A663" s="1" t="s">
        <v>1932</v>
      </c>
      <c r="B663" s="13">
        <v>45170</v>
      </c>
      <c r="C663" s="1" t="s">
        <v>1181</v>
      </c>
      <c r="D663" s="1" t="s">
        <v>43</v>
      </c>
      <c r="E663" s="1">
        <v>23</v>
      </c>
      <c r="F663" s="1" t="s">
        <v>704</v>
      </c>
    </row>
    <row r="664" spans="1:6" x14ac:dyDescent="0.3">
      <c r="A664" s="1" t="s">
        <v>1933</v>
      </c>
      <c r="B664" s="13">
        <v>45170</v>
      </c>
      <c r="C664" s="1" t="s">
        <v>1256</v>
      </c>
      <c r="D664" s="1" t="s">
        <v>43</v>
      </c>
      <c r="E664" s="1">
        <v>17</v>
      </c>
      <c r="F664" s="1" t="s">
        <v>705</v>
      </c>
    </row>
    <row r="665" spans="1:6" x14ac:dyDescent="0.3">
      <c r="A665" s="1" t="s">
        <v>1934</v>
      </c>
      <c r="B665" s="13">
        <v>45171</v>
      </c>
      <c r="C665" s="1" t="s">
        <v>1165</v>
      </c>
      <c r="D665" s="1" t="s">
        <v>43</v>
      </c>
      <c r="E665" s="1">
        <v>61</v>
      </c>
      <c r="F665" s="1" t="s">
        <v>706</v>
      </c>
    </row>
    <row r="666" spans="1:6" x14ac:dyDescent="0.3">
      <c r="A666" s="1" t="s">
        <v>1935</v>
      </c>
      <c r="B666" s="13">
        <v>45172</v>
      </c>
      <c r="C666" s="1" t="s">
        <v>1159</v>
      </c>
      <c r="D666" s="1" t="s">
        <v>43</v>
      </c>
      <c r="E666" s="1">
        <v>29</v>
      </c>
      <c r="F666" s="1" t="s">
        <v>707</v>
      </c>
    </row>
    <row r="667" spans="1:6" x14ac:dyDescent="0.3">
      <c r="A667" s="1" t="s">
        <v>1936</v>
      </c>
      <c r="B667" s="13">
        <v>45172</v>
      </c>
      <c r="C667" s="1" t="s">
        <v>1104</v>
      </c>
      <c r="D667" s="1" t="s">
        <v>41</v>
      </c>
      <c r="E667" s="1">
        <v>40</v>
      </c>
      <c r="F667" s="1" t="s">
        <v>708</v>
      </c>
    </row>
    <row r="668" spans="1:6" x14ac:dyDescent="0.3">
      <c r="A668" s="1" t="s">
        <v>1937</v>
      </c>
      <c r="B668" s="13">
        <v>45173</v>
      </c>
      <c r="C668" s="1" t="s">
        <v>1263</v>
      </c>
      <c r="D668" s="1" t="s">
        <v>43</v>
      </c>
      <c r="E668" s="1">
        <v>20</v>
      </c>
      <c r="F668" s="1" t="s">
        <v>709</v>
      </c>
    </row>
    <row r="669" spans="1:6" x14ac:dyDescent="0.3">
      <c r="A669" s="1" t="s">
        <v>1938</v>
      </c>
      <c r="B669" s="13">
        <v>45173</v>
      </c>
      <c r="C669" s="1" t="s">
        <v>1091</v>
      </c>
      <c r="D669" s="1" t="s">
        <v>43</v>
      </c>
      <c r="E669" s="1">
        <v>51</v>
      </c>
      <c r="F669" s="1" t="s">
        <v>710</v>
      </c>
    </row>
    <row r="670" spans="1:6" x14ac:dyDescent="0.3">
      <c r="A670" s="1" t="s">
        <v>1939</v>
      </c>
      <c r="B670" s="13">
        <v>45173</v>
      </c>
      <c r="C670" s="1" t="s">
        <v>1083</v>
      </c>
      <c r="D670" s="1" t="s">
        <v>43</v>
      </c>
      <c r="E670" s="1">
        <v>80</v>
      </c>
      <c r="F670" s="1" t="s">
        <v>711</v>
      </c>
    </row>
    <row r="671" spans="1:6" x14ac:dyDescent="0.3">
      <c r="A671" s="1" t="s">
        <v>1940</v>
      </c>
      <c r="B671" s="13">
        <v>45175</v>
      </c>
      <c r="C671" s="1" t="s">
        <v>1173</v>
      </c>
      <c r="D671" s="1" t="s">
        <v>41</v>
      </c>
      <c r="E671" s="1">
        <v>85</v>
      </c>
      <c r="F671" s="1" t="s">
        <v>712</v>
      </c>
    </row>
    <row r="672" spans="1:6" x14ac:dyDescent="0.3">
      <c r="A672" s="1" t="s">
        <v>1941</v>
      </c>
      <c r="B672" s="13">
        <v>45175</v>
      </c>
      <c r="C672" s="1" t="s">
        <v>1150</v>
      </c>
      <c r="D672" s="1" t="s">
        <v>43</v>
      </c>
      <c r="E672" s="1">
        <v>17</v>
      </c>
      <c r="F672" s="1" t="s">
        <v>713</v>
      </c>
    </row>
    <row r="673" spans="1:6" x14ac:dyDescent="0.3">
      <c r="A673" s="1" t="s">
        <v>1942</v>
      </c>
      <c r="B673" s="13">
        <v>45176</v>
      </c>
      <c r="C673" s="1" t="s">
        <v>1226</v>
      </c>
      <c r="D673" s="1" t="s">
        <v>43</v>
      </c>
      <c r="E673" s="1">
        <v>86</v>
      </c>
      <c r="F673" s="1" t="s">
        <v>714</v>
      </c>
    </row>
    <row r="674" spans="1:6" x14ac:dyDescent="0.3">
      <c r="A674" s="1" t="s">
        <v>1943</v>
      </c>
      <c r="B674" s="13">
        <v>45176</v>
      </c>
      <c r="C674" s="1" t="s">
        <v>1164</v>
      </c>
      <c r="D674" s="1" t="s">
        <v>41</v>
      </c>
      <c r="E674" s="1">
        <v>82</v>
      </c>
      <c r="F674" s="1" t="s">
        <v>715</v>
      </c>
    </row>
    <row r="675" spans="1:6" x14ac:dyDescent="0.3">
      <c r="A675" s="1" t="s">
        <v>1944</v>
      </c>
      <c r="B675" s="13">
        <v>45176</v>
      </c>
      <c r="C675" s="1" t="s">
        <v>1130</v>
      </c>
      <c r="D675" s="1" t="s">
        <v>41</v>
      </c>
      <c r="E675" s="1">
        <v>78</v>
      </c>
      <c r="F675" s="1" t="s">
        <v>716</v>
      </c>
    </row>
    <row r="676" spans="1:6" x14ac:dyDescent="0.3">
      <c r="A676" s="1" t="s">
        <v>1945</v>
      </c>
      <c r="B676" s="13">
        <v>45177</v>
      </c>
      <c r="C676" s="1" t="s">
        <v>1097</v>
      </c>
      <c r="D676" s="1" t="s">
        <v>43</v>
      </c>
      <c r="E676" s="1">
        <v>74</v>
      </c>
      <c r="F676" s="1" t="s">
        <v>717</v>
      </c>
    </row>
    <row r="677" spans="1:6" x14ac:dyDescent="0.3">
      <c r="A677" s="1" t="s">
        <v>1946</v>
      </c>
      <c r="B677" s="13">
        <v>45177</v>
      </c>
      <c r="C677" s="1" t="s">
        <v>1168</v>
      </c>
      <c r="D677" s="1" t="s">
        <v>41</v>
      </c>
      <c r="E677" s="1">
        <v>18</v>
      </c>
      <c r="F677" s="1" t="s">
        <v>718</v>
      </c>
    </row>
    <row r="678" spans="1:6" x14ac:dyDescent="0.3">
      <c r="A678" s="1" t="s">
        <v>1947</v>
      </c>
      <c r="B678" s="13">
        <v>45177</v>
      </c>
      <c r="C678" s="1" t="s">
        <v>1186</v>
      </c>
      <c r="D678" s="1" t="s">
        <v>43</v>
      </c>
      <c r="E678" s="1">
        <v>59</v>
      </c>
      <c r="F678" s="1" t="s">
        <v>719</v>
      </c>
    </row>
    <row r="679" spans="1:6" x14ac:dyDescent="0.3">
      <c r="A679" s="1" t="s">
        <v>1948</v>
      </c>
      <c r="B679" s="13">
        <v>45177</v>
      </c>
      <c r="C679" s="1" t="s">
        <v>1268</v>
      </c>
      <c r="D679" s="1" t="s">
        <v>43</v>
      </c>
      <c r="E679" s="1">
        <v>48</v>
      </c>
      <c r="F679" s="1" t="s">
        <v>720</v>
      </c>
    </row>
    <row r="680" spans="1:6" x14ac:dyDescent="0.3">
      <c r="A680" s="1" t="s">
        <v>1949</v>
      </c>
      <c r="B680" s="13">
        <v>45177</v>
      </c>
      <c r="C680" s="1" t="s">
        <v>1187</v>
      </c>
      <c r="D680" s="1" t="s">
        <v>43</v>
      </c>
      <c r="E680" s="1">
        <v>76</v>
      </c>
      <c r="F680" s="1" t="s">
        <v>721</v>
      </c>
    </row>
    <row r="681" spans="1:6" x14ac:dyDescent="0.3">
      <c r="A681" s="1" t="s">
        <v>1950</v>
      </c>
      <c r="B681" s="13">
        <v>45180</v>
      </c>
      <c r="C681" s="1" t="s">
        <v>1202</v>
      </c>
      <c r="D681" s="1" t="s">
        <v>41</v>
      </c>
      <c r="E681" s="1">
        <v>50</v>
      </c>
      <c r="F681" s="1" t="s">
        <v>722</v>
      </c>
    </row>
    <row r="682" spans="1:6" x14ac:dyDescent="0.3">
      <c r="A682" s="1" t="s">
        <v>1951</v>
      </c>
      <c r="B682" s="13">
        <v>45180</v>
      </c>
      <c r="C682" s="1" t="s">
        <v>1102</v>
      </c>
      <c r="D682" s="1" t="s">
        <v>41</v>
      </c>
      <c r="E682" s="1">
        <v>23</v>
      </c>
      <c r="F682" s="1" t="s">
        <v>723</v>
      </c>
    </row>
    <row r="683" spans="1:6" x14ac:dyDescent="0.3">
      <c r="A683" s="1" t="s">
        <v>1952</v>
      </c>
      <c r="B683" s="13">
        <v>45181</v>
      </c>
      <c r="C683" s="1" t="s">
        <v>1102</v>
      </c>
      <c r="D683" s="1" t="s">
        <v>43</v>
      </c>
      <c r="E683" s="1">
        <v>86</v>
      </c>
      <c r="F683" s="1" t="s">
        <v>724</v>
      </c>
    </row>
    <row r="684" spans="1:6" x14ac:dyDescent="0.3">
      <c r="A684" s="1" t="s">
        <v>1953</v>
      </c>
      <c r="B684" s="13">
        <v>45182</v>
      </c>
      <c r="C684" s="1" t="s">
        <v>1168</v>
      </c>
      <c r="D684" s="1" t="s">
        <v>43</v>
      </c>
      <c r="E684" s="1">
        <v>28</v>
      </c>
      <c r="F684" s="1" t="s">
        <v>725</v>
      </c>
    </row>
    <row r="685" spans="1:6" x14ac:dyDescent="0.3">
      <c r="A685" s="1" t="s">
        <v>1954</v>
      </c>
      <c r="B685" s="13">
        <v>45183</v>
      </c>
      <c r="C685" s="1" t="s">
        <v>1145</v>
      </c>
      <c r="D685" s="1" t="s">
        <v>43</v>
      </c>
      <c r="E685" s="1">
        <v>85</v>
      </c>
      <c r="F685" s="1" t="s">
        <v>726</v>
      </c>
    </row>
    <row r="686" spans="1:6" x14ac:dyDescent="0.3">
      <c r="A686" s="1" t="s">
        <v>1955</v>
      </c>
      <c r="B686" s="13">
        <v>45183</v>
      </c>
      <c r="C686" s="1" t="s">
        <v>1267</v>
      </c>
      <c r="D686" s="1" t="s">
        <v>43</v>
      </c>
      <c r="E686" s="1">
        <v>42</v>
      </c>
      <c r="F686" s="1" t="s">
        <v>727</v>
      </c>
    </row>
    <row r="687" spans="1:6" x14ac:dyDescent="0.3">
      <c r="A687" s="1" t="s">
        <v>1956</v>
      </c>
      <c r="B687" s="13">
        <v>45183</v>
      </c>
      <c r="C687" s="1" t="s">
        <v>1130</v>
      </c>
      <c r="D687" s="1" t="s">
        <v>41</v>
      </c>
      <c r="E687" s="1">
        <v>51</v>
      </c>
      <c r="F687" s="1" t="s">
        <v>728</v>
      </c>
    </row>
    <row r="688" spans="1:6" x14ac:dyDescent="0.3">
      <c r="A688" s="1" t="s">
        <v>1957</v>
      </c>
      <c r="B688" s="13">
        <v>45183</v>
      </c>
      <c r="C688" s="1" t="s">
        <v>1234</v>
      </c>
      <c r="D688" s="1" t="s">
        <v>41</v>
      </c>
      <c r="E688" s="1">
        <v>73</v>
      </c>
      <c r="F688" s="1" t="s">
        <v>729</v>
      </c>
    </row>
    <row r="689" spans="1:6" x14ac:dyDescent="0.3">
      <c r="A689" s="1" t="s">
        <v>1958</v>
      </c>
      <c r="B689" s="13">
        <v>45184</v>
      </c>
      <c r="C689" s="1" t="s">
        <v>1246</v>
      </c>
      <c r="D689" s="1" t="s">
        <v>43</v>
      </c>
      <c r="E689" s="1">
        <v>53</v>
      </c>
      <c r="F689" s="1" t="s">
        <v>730</v>
      </c>
    </row>
    <row r="690" spans="1:6" x14ac:dyDescent="0.3">
      <c r="A690" s="1" t="s">
        <v>1959</v>
      </c>
      <c r="B690" s="13">
        <v>45185</v>
      </c>
      <c r="C690" s="1" t="s">
        <v>1161</v>
      </c>
      <c r="D690" s="1" t="s">
        <v>41</v>
      </c>
      <c r="E690" s="1">
        <v>82</v>
      </c>
      <c r="F690" s="1" t="s">
        <v>731</v>
      </c>
    </row>
    <row r="691" spans="1:6" x14ac:dyDescent="0.3">
      <c r="A691" s="1" t="s">
        <v>1960</v>
      </c>
      <c r="B691" s="13">
        <v>45185</v>
      </c>
      <c r="C691" s="1" t="s">
        <v>1203</v>
      </c>
      <c r="D691" s="1" t="s">
        <v>41</v>
      </c>
      <c r="E691" s="1">
        <v>98</v>
      </c>
      <c r="F691" s="1" t="s">
        <v>732</v>
      </c>
    </row>
    <row r="692" spans="1:6" x14ac:dyDescent="0.3">
      <c r="A692" s="1" t="s">
        <v>1961</v>
      </c>
      <c r="B692" s="13">
        <v>45186</v>
      </c>
      <c r="C692" s="1" t="s">
        <v>1197</v>
      </c>
      <c r="D692" s="1" t="s">
        <v>43</v>
      </c>
      <c r="E692" s="1">
        <v>39</v>
      </c>
      <c r="F692" s="1" t="s">
        <v>733</v>
      </c>
    </row>
    <row r="693" spans="1:6" x14ac:dyDescent="0.3">
      <c r="A693" s="1" t="s">
        <v>1962</v>
      </c>
      <c r="B693" s="13">
        <v>45187</v>
      </c>
      <c r="C693" s="1" t="s">
        <v>1202</v>
      </c>
      <c r="D693" s="1" t="s">
        <v>43</v>
      </c>
      <c r="E693" s="1">
        <v>43</v>
      </c>
      <c r="F693" s="1" t="s">
        <v>734</v>
      </c>
    </row>
    <row r="694" spans="1:6" x14ac:dyDescent="0.3">
      <c r="A694" s="1" t="s">
        <v>1963</v>
      </c>
      <c r="B694" s="13">
        <v>45187</v>
      </c>
      <c r="C694" s="1" t="s">
        <v>1141</v>
      </c>
      <c r="D694" s="1" t="s">
        <v>43</v>
      </c>
      <c r="E694" s="1">
        <v>90</v>
      </c>
      <c r="F694" s="1" t="s">
        <v>735</v>
      </c>
    </row>
    <row r="695" spans="1:6" x14ac:dyDescent="0.3">
      <c r="A695" s="1" t="s">
        <v>1964</v>
      </c>
      <c r="B695" s="13">
        <v>45187</v>
      </c>
      <c r="C695" s="1" t="s">
        <v>1134</v>
      </c>
      <c r="D695" s="1" t="s">
        <v>41</v>
      </c>
      <c r="E695" s="1">
        <v>70</v>
      </c>
      <c r="F695" s="1" t="s">
        <v>736</v>
      </c>
    </row>
    <row r="696" spans="1:6" x14ac:dyDescent="0.3">
      <c r="A696" s="1" t="s">
        <v>1965</v>
      </c>
      <c r="B696" s="13">
        <v>45187</v>
      </c>
      <c r="C696" s="1" t="s">
        <v>1222</v>
      </c>
      <c r="D696" s="1" t="s">
        <v>41</v>
      </c>
      <c r="E696" s="1">
        <v>91</v>
      </c>
      <c r="F696" s="1" t="s">
        <v>737</v>
      </c>
    </row>
    <row r="697" spans="1:6" x14ac:dyDescent="0.3">
      <c r="A697" s="1" t="s">
        <v>1966</v>
      </c>
      <c r="B697" s="13">
        <v>45187</v>
      </c>
      <c r="C697" s="1" t="s">
        <v>1156</v>
      </c>
      <c r="D697" s="1" t="s">
        <v>43</v>
      </c>
      <c r="E697" s="1">
        <v>36</v>
      </c>
      <c r="F697" s="1" t="s">
        <v>738</v>
      </c>
    </row>
    <row r="698" spans="1:6" x14ac:dyDescent="0.3">
      <c r="A698" s="1" t="s">
        <v>1967</v>
      </c>
      <c r="B698" s="13">
        <v>45188</v>
      </c>
      <c r="C698" s="1" t="s">
        <v>1233</v>
      </c>
      <c r="D698" s="1" t="s">
        <v>41</v>
      </c>
      <c r="E698" s="1">
        <v>11</v>
      </c>
      <c r="F698" s="1" t="s">
        <v>739</v>
      </c>
    </row>
    <row r="699" spans="1:6" x14ac:dyDescent="0.3">
      <c r="A699" s="1" t="s">
        <v>1968</v>
      </c>
      <c r="B699" s="13">
        <v>45188</v>
      </c>
      <c r="C699" s="1" t="s">
        <v>1087</v>
      </c>
      <c r="D699" s="1" t="s">
        <v>41</v>
      </c>
      <c r="E699" s="1">
        <v>82</v>
      </c>
      <c r="F699" s="1" t="s">
        <v>740</v>
      </c>
    </row>
    <row r="700" spans="1:6" x14ac:dyDescent="0.3">
      <c r="A700" s="1" t="s">
        <v>1969</v>
      </c>
      <c r="B700" s="13">
        <v>45188</v>
      </c>
      <c r="C700" s="1" t="s">
        <v>1161</v>
      </c>
      <c r="D700" s="1" t="s">
        <v>41</v>
      </c>
      <c r="E700" s="1">
        <v>23</v>
      </c>
      <c r="F700" s="1" t="s">
        <v>741</v>
      </c>
    </row>
    <row r="701" spans="1:6" x14ac:dyDescent="0.3">
      <c r="A701" s="1" t="s">
        <v>1970</v>
      </c>
      <c r="B701" s="13">
        <v>45188</v>
      </c>
      <c r="C701" s="1" t="s">
        <v>1163</v>
      </c>
      <c r="D701" s="1" t="s">
        <v>43</v>
      </c>
      <c r="E701" s="1">
        <v>56</v>
      </c>
      <c r="F701" s="1" t="s">
        <v>742</v>
      </c>
    </row>
    <row r="702" spans="1:6" x14ac:dyDescent="0.3">
      <c r="A702" s="1" t="s">
        <v>1971</v>
      </c>
      <c r="B702" s="13">
        <v>45189</v>
      </c>
      <c r="C702" s="1" t="s">
        <v>1252</v>
      </c>
      <c r="D702" s="1" t="s">
        <v>41</v>
      </c>
      <c r="E702" s="1">
        <v>47</v>
      </c>
      <c r="F702" s="1" t="s">
        <v>743</v>
      </c>
    </row>
    <row r="703" spans="1:6" x14ac:dyDescent="0.3">
      <c r="A703" s="1" t="s">
        <v>1972</v>
      </c>
      <c r="B703" s="13">
        <v>45190</v>
      </c>
      <c r="C703" s="1" t="s">
        <v>1214</v>
      </c>
      <c r="D703" s="1" t="s">
        <v>41</v>
      </c>
      <c r="E703" s="1">
        <v>84</v>
      </c>
      <c r="F703" s="1" t="s">
        <v>744</v>
      </c>
    </row>
    <row r="704" spans="1:6" x14ac:dyDescent="0.3">
      <c r="A704" s="1" t="s">
        <v>1973</v>
      </c>
      <c r="B704" s="13">
        <v>45190</v>
      </c>
      <c r="C704" s="1" t="s">
        <v>1197</v>
      </c>
      <c r="D704" s="1" t="s">
        <v>43</v>
      </c>
      <c r="E704" s="1">
        <v>85</v>
      </c>
      <c r="F704" s="1" t="s">
        <v>745</v>
      </c>
    </row>
    <row r="705" spans="1:6" x14ac:dyDescent="0.3">
      <c r="A705" s="1" t="s">
        <v>1974</v>
      </c>
      <c r="B705" s="13">
        <v>45190</v>
      </c>
      <c r="C705" s="1" t="s">
        <v>1134</v>
      </c>
      <c r="D705" s="1" t="s">
        <v>43</v>
      </c>
      <c r="E705" s="1">
        <v>27</v>
      </c>
      <c r="F705" s="1" t="s">
        <v>746</v>
      </c>
    </row>
    <row r="706" spans="1:6" x14ac:dyDescent="0.3">
      <c r="A706" s="1" t="s">
        <v>1975</v>
      </c>
      <c r="B706" s="13">
        <v>45190</v>
      </c>
      <c r="C706" s="1" t="s">
        <v>1145</v>
      </c>
      <c r="D706" s="1" t="s">
        <v>43</v>
      </c>
      <c r="E706" s="1">
        <v>77</v>
      </c>
      <c r="F706" s="1" t="s">
        <v>747</v>
      </c>
    </row>
    <row r="707" spans="1:6" x14ac:dyDescent="0.3">
      <c r="A707" s="1" t="s">
        <v>1976</v>
      </c>
      <c r="B707" s="13">
        <v>45190</v>
      </c>
      <c r="C707" s="1" t="s">
        <v>1179</v>
      </c>
      <c r="D707" s="1" t="s">
        <v>43</v>
      </c>
      <c r="E707" s="1">
        <v>84</v>
      </c>
      <c r="F707" s="1" t="s">
        <v>748</v>
      </c>
    </row>
    <row r="708" spans="1:6" x14ac:dyDescent="0.3">
      <c r="A708" s="1" t="s">
        <v>1977</v>
      </c>
      <c r="B708" s="13">
        <v>45191</v>
      </c>
      <c r="C708" s="1" t="s">
        <v>1183</v>
      </c>
      <c r="D708" s="1" t="s">
        <v>43</v>
      </c>
      <c r="E708" s="1">
        <v>35</v>
      </c>
      <c r="F708" s="1" t="s">
        <v>749</v>
      </c>
    </row>
    <row r="709" spans="1:6" x14ac:dyDescent="0.3">
      <c r="A709" s="1" t="s">
        <v>1978</v>
      </c>
      <c r="B709" s="13">
        <v>45192</v>
      </c>
      <c r="C709" s="1" t="s">
        <v>1101</v>
      </c>
      <c r="D709" s="1" t="s">
        <v>43</v>
      </c>
      <c r="E709" s="1">
        <v>98</v>
      </c>
      <c r="F709" s="1" t="s">
        <v>750</v>
      </c>
    </row>
    <row r="710" spans="1:6" x14ac:dyDescent="0.3">
      <c r="A710" s="1" t="s">
        <v>1979</v>
      </c>
      <c r="B710" s="13">
        <v>45192</v>
      </c>
      <c r="C710" s="1" t="s">
        <v>1240</v>
      </c>
      <c r="D710" s="1" t="s">
        <v>43</v>
      </c>
      <c r="E710" s="1">
        <v>63</v>
      </c>
      <c r="F710" s="1" t="s">
        <v>751</v>
      </c>
    </row>
    <row r="711" spans="1:6" x14ac:dyDescent="0.3">
      <c r="A711" s="1" t="s">
        <v>1980</v>
      </c>
      <c r="B711" s="13">
        <v>45192</v>
      </c>
      <c r="C711" s="1" t="s">
        <v>1173</v>
      </c>
      <c r="D711" s="1" t="s">
        <v>41</v>
      </c>
      <c r="E711" s="1">
        <v>27</v>
      </c>
      <c r="F711" s="1" t="s">
        <v>752</v>
      </c>
    </row>
    <row r="712" spans="1:6" x14ac:dyDescent="0.3">
      <c r="A712" s="1" t="s">
        <v>1981</v>
      </c>
      <c r="B712" s="13">
        <v>45193</v>
      </c>
      <c r="C712" s="1" t="s">
        <v>1181</v>
      </c>
      <c r="D712" s="1" t="s">
        <v>41</v>
      </c>
      <c r="E712" s="1">
        <v>70</v>
      </c>
      <c r="F712" s="1" t="s">
        <v>753</v>
      </c>
    </row>
    <row r="713" spans="1:6" x14ac:dyDescent="0.3">
      <c r="A713" s="1" t="s">
        <v>1982</v>
      </c>
      <c r="B713" s="13">
        <v>45193</v>
      </c>
      <c r="C713" s="1" t="s">
        <v>1265</v>
      </c>
      <c r="D713" s="1" t="s">
        <v>43</v>
      </c>
      <c r="E713" s="1">
        <v>49</v>
      </c>
      <c r="F713" s="1" t="s">
        <v>754</v>
      </c>
    </row>
    <row r="714" spans="1:6" x14ac:dyDescent="0.3">
      <c r="A714" s="1" t="s">
        <v>1983</v>
      </c>
      <c r="B714" s="13">
        <v>45193</v>
      </c>
      <c r="C714" s="1" t="s">
        <v>1223</v>
      </c>
      <c r="D714" s="1" t="s">
        <v>41</v>
      </c>
      <c r="E714" s="1">
        <v>22</v>
      </c>
      <c r="F714" s="1" t="s">
        <v>755</v>
      </c>
    </row>
    <row r="715" spans="1:6" x14ac:dyDescent="0.3">
      <c r="A715" s="1" t="s">
        <v>1984</v>
      </c>
      <c r="B715" s="13">
        <v>45193</v>
      </c>
      <c r="C715" s="1" t="s">
        <v>1195</v>
      </c>
      <c r="D715" s="1" t="s">
        <v>43</v>
      </c>
      <c r="E715" s="1">
        <v>96</v>
      </c>
      <c r="F715" s="1" t="s">
        <v>756</v>
      </c>
    </row>
    <row r="716" spans="1:6" x14ac:dyDescent="0.3">
      <c r="A716" s="1" t="s">
        <v>1985</v>
      </c>
      <c r="B716" s="13">
        <v>45193</v>
      </c>
      <c r="C716" s="1" t="s">
        <v>1217</v>
      </c>
      <c r="D716" s="1" t="s">
        <v>43</v>
      </c>
      <c r="E716" s="1">
        <v>61</v>
      </c>
      <c r="F716" s="1" t="s">
        <v>757</v>
      </c>
    </row>
    <row r="717" spans="1:6" x14ac:dyDescent="0.3">
      <c r="A717" s="1" t="s">
        <v>1986</v>
      </c>
      <c r="B717" s="13">
        <v>45194</v>
      </c>
      <c r="C717" s="1" t="s">
        <v>1148</v>
      </c>
      <c r="D717" s="1" t="s">
        <v>41</v>
      </c>
      <c r="E717" s="1">
        <v>43</v>
      </c>
      <c r="F717" s="1" t="s">
        <v>758</v>
      </c>
    </row>
    <row r="718" spans="1:6" x14ac:dyDescent="0.3">
      <c r="A718" s="1" t="s">
        <v>1987</v>
      </c>
      <c r="B718" s="13">
        <v>45194</v>
      </c>
      <c r="C718" s="1" t="s">
        <v>1147</v>
      </c>
      <c r="D718" s="1" t="s">
        <v>41</v>
      </c>
      <c r="E718" s="1">
        <v>38</v>
      </c>
      <c r="F718" s="1" t="s">
        <v>759</v>
      </c>
    </row>
    <row r="719" spans="1:6" x14ac:dyDescent="0.3">
      <c r="A719" s="1" t="s">
        <v>1988</v>
      </c>
      <c r="B719" s="13">
        <v>45195</v>
      </c>
      <c r="C719" s="1" t="s">
        <v>1170</v>
      </c>
      <c r="D719" s="1" t="s">
        <v>41</v>
      </c>
      <c r="E719" s="1">
        <v>65</v>
      </c>
      <c r="F719" s="1" t="s">
        <v>760</v>
      </c>
    </row>
    <row r="720" spans="1:6" x14ac:dyDescent="0.3">
      <c r="A720" s="1" t="s">
        <v>1989</v>
      </c>
      <c r="B720" s="13">
        <v>45195</v>
      </c>
      <c r="C720" s="1" t="s">
        <v>1104</v>
      </c>
      <c r="D720" s="1" t="s">
        <v>43</v>
      </c>
      <c r="E720" s="1">
        <v>14</v>
      </c>
      <c r="F720" s="1" t="s">
        <v>761</v>
      </c>
    </row>
    <row r="721" spans="1:6" x14ac:dyDescent="0.3">
      <c r="A721" s="1" t="s">
        <v>1990</v>
      </c>
      <c r="B721" s="13">
        <v>45195</v>
      </c>
      <c r="C721" s="1" t="s">
        <v>1233</v>
      </c>
      <c r="D721" s="1" t="s">
        <v>41</v>
      </c>
      <c r="E721" s="1">
        <v>67</v>
      </c>
      <c r="F721" s="1" t="s">
        <v>762</v>
      </c>
    </row>
    <row r="722" spans="1:6" x14ac:dyDescent="0.3">
      <c r="A722" s="1" t="s">
        <v>1991</v>
      </c>
      <c r="B722" s="13">
        <v>45196</v>
      </c>
      <c r="C722" s="1" t="s">
        <v>1126</v>
      </c>
      <c r="D722" s="1" t="s">
        <v>43</v>
      </c>
      <c r="E722" s="1">
        <v>85</v>
      </c>
      <c r="F722" s="1" t="s">
        <v>763</v>
      </c>
    </row>
    <row r="723" spans="1:6" x14ac:dyDescent="0.3">
      <c r="A723" s="1" t="s">
        <v>1992</v>
      </c>
      <c r="B723" s="13">
        <v>45196</v>
      </c>
      <c r="C723" s="1" t="s">
        <v>1202</v>
      </c>
      <c r="D723" s="1" t="s">
        <v>43</v>
      </c>
      <c r="E723" s="1">
        <v>93</v>
      </c>
      <c r="F723" s="1" t="s">
        <v>764</v>
      </c>
    </row>
    <row r="724" spans="1:6" x14ac:dyDescent="0.3">
      <c r="A724" s="1" t="s">
        <v>1993</v>
      </c>
      <c r="B724" s="13">
        <v>45196</v>
      </c>
      <c r="C724" s="1" t="s">
        <v>1106</v>
      </c>
      <c r="D724" s="1" t="s">
        <v>41</v>
      </c>
      <c r="E724" s="1">
        <v>100</v>
      </c>
      <c r="F724" s="1" t="s">
        <v>765</v>
      </c>
    </row>
    <row r="725" spans="1:6" x14ac:dyDescent="0.3">
      <c r="A725" s="1" t="s">
        <v>1994</v>
      </c>
      <c r="B725" s="13">
        <v>45197</v>
      </c>
      <c r="C725" s="1" t="s">
        <v>1225</v>
      </c>
      <c r="D725" s="1" t="s">
        <v>43</v>
      </c>
      <c r="E725" s="1">
        <v>88</v>
      </c>
      <c r="F725" s="1" t="s">
        <v>766</v>
      </c>
    </row>
    <row r="726" spans="1:6" x14ac:dyDescent="0.3">
      <c r="A726" s="1" t="s">
        <v>1995</v>
      </c>
      <c r="B726" s="13">
        <v>45197</v>
      </c>
      <c r="C726" s="1" t="s">
        <v>1141</v>
      </c>
      <c r="D726" s="1" t="s">
        <v>43</v>
      </c>
      <c r="E726" s="1">
        <v>97</v>
      </c>
      <c r="F726" s="1" t="s">
        <v>767</v>
      </c>
    </row>
    <row r="727" spans="1:6" x14ac:dyDescent="0.3">
      <c r="A727" s="1" t="s">
        <v>1996</v>
      </c>
      <c r="B727" s="13">
        <v>45198</v>
      </c>
      <c r="C727" s="1" t="s">
        <v>1164</v>
      </c>
      <c r="D727" s="1" t="s">
        <v>43</v>
      </c>
      <c r="E727" s="1">
        <v>19</v>
      </c>
      <c r="F727" s="1" t="s">
        <v>768</v>
      </c>
    </row>
    <row r="728" spans="1:6" x14ac:dyDescent="0.3">
      <c r="A728" s="1" t="s">
        <v>1997</v>
      </c>
      <c r="B728" s="13">
        <v>45199</v>
      </c>
      <c r="C728" s="1" t="s">
        <v>1256</v>
      </c>
      <c r="D728" s="1" t="s">
        <v>43</v>
      </c>
      <c r="E728" s="1">
        <v>24</v>
      </c>
      <c r="F728" s="1" t="s">
        <v>769</v>
      </c>
    </row>
    <row r="729" spans="1:6" x14ac:dyDescent="0.3">
      <c r="A729" s="1" t="s">
        <v>1998</v>
      </c>
      <c r="B729" s="13">
        <v>45199</v>
      </c>
      <c r="C729" s="1" t="s">
        <v>1258</v>
      </c>
      <c r="D729" s="1" t="s">
        <v>43</v>
      </c>
      <c r="E729" s="1">
        <v>55</v>
      </c>
      <c r="F729" s="1" t="s">
        <v>770</v>
      </c>
    </row>
    <row r="730" spans="1:6" x14ac:dyDescent="0.3">
      <c r="A730" s="1" t="s">
        <v>1999</v>
      </c>
      <c r="B730" s="13">
        <v>45199</v>
      </c>
      <c r="C730" s="1" t="s">
        <v>1095</v>
      </c>
      <c r="D730" s="1" t="s">
        <v>43</v>
      </c>
      <c r="E730" s="1">
        <v>91</v>
      </c>
      <c r="F730" s="1" t="s">
        <v>771</v>
      </c>
    </row>
    <row r="731" spans="1:6" x14ac:dyDescent="0.3">
      <c r="A731" s="1" t="s">
        <v>2000</v>
      </c>
      <c r="B731" s="13">
        <v>45200</v>
      </c>
      <c r="C731" s="1" t="s">
        <v>1202</v>
      </c>
      <c r="D731" s="1" t="s">
        <v>43</v>
      </c>
      <c r="E731" s="1">
        <v>49</v>
      </c>
      <c r="F731" s="1" t="s">
        <v>772</v>
      </c>
    </row>
    <row r="732" spans="1:6" x14ac:dyDescent="0.3">
      <c r="A732" s="1" t="s">
        <v>2001</v>
      </c>
      <c r="B732" s="13">
        <v>45200</v>
      </c>
      <c r="C732" s="1" t="s">
        <v>1264</v>
      </c>
      <c r="D732" s="1" t="s">
        <v>43</v>
      </c>
      <c r="E732" s="1">
        <v>66</v>
      </c>
      <c r="F732" s="1" t="s">
        <v>773</v>
      </c>
    </row>
    <row r="733" spans="1:6" x14ac:dyDescent="0.3">
      <c r="A733" s="1" t="s">
        <v>2002</v>
      </c>
      <c r="B733" s="13">
        <v>45200</v>
      </c>
      <c r="C733" s="1" t="s">
        <v>1129</v>
      </c>
      <c r="D733" s="1" t="s">
        <v>41</v>
      </c>
      <c r="E733" s="1">
        <v>14</v>
      </c>
      <c r="F733" s="1" t="s">
        <v>774</v>
      </c>
    </row>
    <row r="734" spans="1:6" x14ac:dyDescent="0.3">
      <c r="A734" s="1" t="s">
        <v>2003</v>
      </c>
      <c r="B734" s="13">
        <v>45201</v>
      </c>
      <c r="C734" s="1" t="s">
        <v>1204</v>
      </c>
      <c r="D734" s="1" t="s">
        <v>41</v>
      </c>
      <c r="E734" s="1">
        <v>36</v>
      </c>
      <c r="F734" s="1" t="s">
        <v>775</v>
      </c>
    </row>
    <row r="735" spans="1:6" x14ac:dyDescent="0.3">
      <c r="A735" s="1" t="s">
        <v>2004</v>
      </c>
      <c r="B735" s="13">
        <v>45201</v>
      </c>
      <c r="C735" s="1" t="s">
        <v>1221</v>
      </c>
      <c r="D735" s="1" t="s">
        <v>41</v>
      </c>
      <c r="E735" s="1">
        <v>52</v>
      </c>
      <c r="F735" s="1" t="s">
        <v>776</v>
      </c>
    </row>
    <row r="736" spans="1:6" x14ac:dyDescent="0.3">
      <c r="A736" s="1" t="s">
        <v>2005</v>
      </c>
      <c r="B736" s="13">
        <v>45203</v>
      </c>
      <c r="C736" s="1" t="s">
        <v>1136</v>
      </c>
      <c r="D736" s="1" t="s">
        <v>41</v>
      </c>
      <c r="E736" s="1">
        <v>48</v>
      </c>
      <c r="F736" s="1" t="s">
        <v>777</v>
      </c>
    </row>
    <row r="737" spans="1:6" x14ac:dyDescent="0.3">
      <c r="A737" s="1" t="s">
        <v>2006</v>
      </c>
      <c r="B737" s="13">
        <v>45203</v>
      </c>
      <c r="C737" s="1" t="s">
        <v>1151</v>
      </c>
      <c r="D737" s="1" t="s">
        <v>43</v>
      </c>
      <c r="E737" s="1">
        <v>58</v>
      </c>
      <c r="F737" s="1" t="s">
        <v>778</v>
      </c>
    </row>
    <row r="738" spans="1:6" x14ac:dyDescent="0.3">
      <c r="A738" s="1" t="s">
        <v>2007</v>
      </c>
      <c r="B738" s="13">
        <v>45204</v>
      </c>
      <c r="C738" s="1" t="s">
        <v>1097</v>
      </c>
      <c r="D738" s="1" t="s">
        <v>41</v>
      </c>
      <c r="E738" s="1">
        <v>39</v>
      </c>
      <c r="F738" s="1" t="s">
        <v>779</v>
      </c>
    </row>
    <row r="739" spans="1:6" x14ac:dyDescent="0.3">
      <c r="A739" s="1" t="s">
        <v>2008</v>
      </c>
      <c r="B739" s="13">
        <v>45204</v>
      </c>
      <c r="C739" s="1" t="s">
        <v>1252</v>
      </c>
      <c r="D739" s="1" t="s">
        <v>41</v>
      </c>
      <c r="E739" s="1">
        <v>51</v>
      </c>
      <c r="F739" s="1" t="s">
        <v>780</v>
      </c>
    </row>
    <row r="740" spans="1:6" x14ac:dyDescent="0.3">
      <c r="A740" s="1" t="s">
        <v>2009</v>
      </c>
      <c r="B740" s="13">
        <v>45206</v>
      </c>
      <c r="C740" s="1" t="s">
        <v>1138</v>
      </c>
      <c r="D740" s="1" t="s">
        <v>43</v>
      </c>
      <c r="E740" s="1">
        <v>16</v>
      </c>
      <c r="F740" s="1" t="s">
        <v>781</v>
      </c>
    </row>
    <row r="741" spans="1:6" x14ac:dyDescent="0.3">
      <c r="A741" s="1" t="s">
        <v>2010</v>
      </c>
      <c r="B741" s="13">
        <v>45206</v>
      </c>
      <c r="C741" s="1" t="s">
        <v>1219</v>
      </c>
      <c r="D741" s="1" t="s">
        <v>43</v>
      </c>
      <c r="E741" s="1">
        <v>62</v>
      </c>
      <c r="F741" s="1" t="s">
        <v>782</v>
      </c>
    </row>
    <row r="742" spans="1:6" x14ac:dyDescent="0.3">
      <c r="A742" s="1" t="s">
        <v>2011</v>
      </c>
      <c r="B742" s="13">
        <v>45207</v>
      </c>
      <c r="C742" s="1" t="s">
        <v>1218</v>
      </c>
      <c r="D742" s="1" t="s">
        <v>41</v>
      </c>
      <c r="E742" s="1">
        <v>60</v>
      </c>
      <c r="F742" s="1" t="s">
        <v>783</v>
      </c>
    </row>
    <row r="743" spans="1:6" x14ac:dyDescent="0.3">
      <c r="A743" s="1" t="s">
        <v>2012</v>
      </c>
      <c r="B743" s="13">
        <v>45207</v>
      </c>
      <c r="C743" s="1" t="s">
        <v>1195</v>
      </c>
      <c r="D743" s="1" t="s">
        <v>43</v>
      </c>
      <c r="E743" s="1">
        <v>47</v>
      </c>
      <c r="F743" s="1" t="s">
        <v>784</v>
      </c>
    </row>
    <row r="744" spans="1:6" x14ac:dyDescent="0.3">
      <c r="A744" s="1" t="s">
        <v>2013</v>
      </c>
      <c r="B744" s="13">
        <v>45208</v>
      </c>
      <c r="C744" s="1" t="s">
        <v>1218</v>
      </c>
      <c r="D744" s="1" t="s">
        <v>43</v>
      </c>
      <c r="E744" s="1">
        <v>23</v>
      </c>
      <c r="F744" s="1" t="s">
        <v>785</v>
      </c>
    </row>
    <row r="745" spans="1:6" x14ac:dyDescent="0.3">
      <c r="A745" s="1" t="s">
        <v>2014</v>
      </c>
      <c r="B745" s="13">
        <v>45208</v>
      </c>
      <c r="C745" s="1" t="s">
        <v>1097</v>
      </c>
      <c r="D745" s="1" t="s">
        <v>43</v>
      </c>
      <c r="E745" s="1">
        <v>85</v>
      </c>
      <c r="F745" s="1" t="s">
        <v>786</v>
      </c>
    </row>
    <row r="746" spans="1:6" x14ac:dyDescent="0.3">
      <c r="A746" s="1" t="s">
        <v>2015</v>
      </c>
      <c r="B746" s="13">
        <v>45208</v>
      </c>
      <c r="C746" s="1" t="s">
        <v>1208</v>
      </c>
      <c r="D746" s="1" t="s">
        <v>41</v>
      </c>
      <c r="E746" s="1">
        <v>55</v>
      </c>
      <c r="F746" s="1" t="s">
        <v>787</v>
      </c>
    </row>
    <row r="747" spans="1:6" x14ac:dyDescent="0.3">
      <c r="A747" s="1" t="s">
        <v>2016</v>
      </c>
      <c r="B747" s="13">
        <v>45208</v>
      </c>
      <c r="C747" s="1" t="s">
        <v>1199</v>
      </c>
      <c r="D747" s="1" t="s">
        <v>41</v>
      </c>
      <c r="E747" s="1">
        <v>81</v>
      </c>
      <c r="F747" s="1" t="s">
        <v>788</v>
      </c>
    </row>
    <row r="748" spans="1:6" x14ac:dyDescent="0.3">
      <c r="A748" s="1" t="s">
        <v>2017</v>
      </c>
      <c r="B748" s="13">
        <v>45209</v>
      </c>
      <c r="C748" s="1" t="s">
        <v>1101</v>
      </c>
      <c r="D748" s="1" t="s">
        <v>43</v>
      </c>
      <c r="E748" s="1">
        <v>28</v>
      </c>
      <c r="F748" s="1" t="s">
        <v>789</v>
      </c>
    </row>
    <row r="749" spans="1:6" x14ac:dyDescent="0.3">
      <c r="A749" s="1" t="s">
        <v>2018</v>
      </c>
      <c r="B749" s="13">
        <v>45210</v>
      </c>
      <c r="C749" s="1" t="s">
        <v>1122</v>
      </c>
      <c r="D749" s="1" t="s">
        <v>41</v>
      </c>
      <c r="E749" s="1">
        <v>99</v>
      </c>
      <c r="F749" s="1" t="s">
        <v>790</v>
      </c>
    </row>
    <row r="750" spans="1:6" x14ac:dyDescent="0.3">
      <c r="A750" s="1" t="s">
        <v>2019</v>
      </c>
      <c r="B750" s="13">
        <v>45211</v>
      </c>
      <c r="C750" s="1" t="s">
        <v>1129</v>
      </c>
      <c r="D750" s="1" t="s">
        <v>43</v>
      </c>
      <c r="E750" s="1">
        <v>34</v>
      </c>
      <c r="F750" s="1" t="s">
        <v>791</v>
      </c>
    </row>
    <row r="751" spans="1:6" x14ac:dyDescent="0.3">
      <c r="A751" s="1" t="s">
        <v>2020</v>
      </c>
      <c r="B751" s="13">
        <v>45211</v>
      </c>
      <c r="C751" s="1" t="s">
        <v>1122</v>
      </c>
      <c r="D751" s="1" t="s">
        <v>41</v>
      </c>
      <c r="E751" s="1">
        <v>62</v>
      </c>
      <c r="F751" s="1" t="s">
        <v>792</v>
      </c>
    </row>
    <row r="752" spans="1:6" x14ac:dyDescent="0.3">
      <c r="A752" s="1" t="s">
        <v>2021</v>
      </c>
      <c r="B752" s="13">
        <v>45211</v>
      </c>
      <c r="C752" s="1" t="s">
        <v>1224</v>
      </c>
      <c r="D752" s="1" t="s">
        <v>43</v>
      </c>
      <c r="E752" s="1">
        <v>55</v>
      </c>
      <c r="F752" s="1" t="s">
        <v>793</v>
      </c>
    </row>
    <row r="753" spans="1:6" x14ac:dyDescent="0.3">
      <c r="A753" s="1" t="s">
        <v>2022</v>
      </c>
      <c r="B753" s="13">
        <v>45211</v>
      </c>
      <c r="C753" s="1" t="s">
        <v>1095</v>
      </c>
      <c r="D753" s="1" t="s">
        <v>43</v>
      </c>
      <c r="E753" s="1">
        <v>47</v>
      </c>
      <c r="F753" s="1" t="s">
        <v>794</v>
      </c>
    </row>
    <row r="754" spans="1:6" x14ac:dyDescent="0.3">
      <c r="A754" s="1" t="s">
        <v>2023</v>
      </c>
      <c r="B754" s="13">
        <v>45211</v>
      </c>
      <c r="C754" s="1" t="s">
        <v>1234</v>
      </c>
      <c r="D754" s="1" t="s">
        <v>41</v>
      </c>
      <c r="E754" s="1">
        <v>12</v>
      </c>
      <c r="F754" s="1" t="s">
        <v>795</v>
      </c>
    </row>
    <row r="755" spans="1:6" x14ac:dyDescent="0.3">
      <c r="A755" s="1" t="s">
        <v>2024</v>
      </c>
      <c r="B755" s="13">
        <v>45211</v>
      </c>
      <c r="C755" s="1" t="s">
        <v>1132</v>
      </c>
      <c r="D755" s="1" t="s">
        <v>41</v>
      </c>
      <c r="E755" s="1">
        <v>84</v>
      </c>
      <c r="F755" s="1" t="s">
        <v>796</v>
      </c>
    </row>
    <row r="756" spans="1:6" x14ac:dyDescent="0.3">
      <c r="A756" s="1" t="s">
        <v>2025</v>
      </c>
      <c r="B756" s="13">
        <v>45212</v>
      </c>
      <c r="C756" s="1" t="s">
        <v>1159</v>
      </c>
      <c r="D756" s="1" t="s">
        <v>41</v>
      </c>
      <c r="E756" s="1">
        <v>47</v>
      </c>
      <c r="F756" s="1" t="s">
        <v>797</v>
      </c>
    </row>
    <row r="757" spans="1:6" x14ac:dyDescent="0.3">
      <c r="A757" s="1" t="s">
        <v>2026</v>
      </c>
      <c r="B757" s="13">
        <v>45212</v>
      </c>
      <c r="C757" s="1" t="s">
        <v>1204</v>
      </c>
      <c r="D757" s="1" t="s">
        <v>43</v>
      </c>
      <c r="E757" s="1">
        <v>87</v>
      </c>
      <c r="F757" s="1" t="s">
        <v>798</v>
      </c>
    </row>
    <row r="758" spans="1:6" x14ac:dyDescent="0.3">
      <c r="A758" s="1" t="s">
        <v>2027</v>
      </c>
      <c r="B758" s="13">
        <v>45213</v>
      </c>
      <c r="C758" s="1" t="s">
        <v>1141</v>
      </c>
      <c r="D758" s="1" t="s">
        <v>43</v>
      </c>
      <c r="E758" s="1">
        <v>47</v>
      </c>
      <c r="F758" s="1" t="s">
        <v>799</v>
      </c>
    </row>
    <row r="759" spans="1:6" x14ac:dyDescent="0.3">
      <c r="A759" s="1" t="s">
        <v>2028</v>
      </c>
      <c r="B759" s="13">
        <v>45213</v>
      </c>
      <c r="C759" s="1" t="s">
        <v>1193</v>
      </c>
      <c r="D759" s="1" t="s">
        <v>41</v>
      </c>
      <c r="E759" s="1">
        <v>61</v>
      </c>
      <c r="F759" s="1" t="s">
        <v>800</v>
      </c>
    </row>
    <row r="760" spans="1:6" x14ac:dyDescent="0.3">
      <c r="A760" s="1" t="s">
        <v>2029</v>
      </c>
      <c r="B760" s="13">
        <v>45214</v>
      </c>
      <c r="C760" s="1" t="s">
        <v>1132</v>
      </c>
      <c r="D760" s="1" t="s">
        <v>41</v>
      </c>
      <c r="E760" s="1">
        <v>62</v>
      </c>
      <c r="F760" s="1" t="s">
        <v>801</v>
      </c>
    </row>
    <row r="761" spans="1:6" x14ac:dyDescent="0.3">
      <c r="A761" s="1" t="s">
        <v>2030</v>
      </c>
      <c r="B761" s="13">
        <v>45214</v>
      </c>
      <c r="C761" s="1" t="s">
        <v>1157</v>
      </c>
      <c r="D761" s="1" t="s">
        <v>41</v>
      </c>
      <c r="E761" s="1">
        <v>31</v>
      </c>
      <c r="F761" s="1" t="s">
        <v>802</v>
      </c>
    </row>
    <row r="762" spans="1:6" x14ac:dyDescent="0.3">
      <c r="A762" s="1" t="s">
        <v>2031</v>
      </c>
      <c r="B762" s="13">
        <v>45214</v>
      </c>
      <c r="C762" s="1" t="s">
        <v>1089</v>
      </c>
      <c r="D762" s="1" t="s">
        <v>43</v>
      </c>
      <c r="E762" s="1">
        <v>28</v>
      </c>
      <c r="F762" s="1" t="s">
        <v>803</v>
      </c>
    </row>
    <row r="763" spans="1:6" x14ac:dyDescent="0.3">
      <c r="A763" s="1" t="s">
        <v>2032</v>
      </c>
      <c r="B763" s="13">
        <v>45214</v>
      </c>
      <c r="C763" s="1" t="s">
        <v>1251</v>
      </c>
      <c r="D763" s="1" t="s">
        <v>43</v>
      </c>
      <c r="E763" s="1">
        <v>28</v>
      </c>
      <c r="F763" s="1" t="s">
        <v>804</v>
      </c>
    </row>
    <row r="764" spans="1:6" x14ac:dyDescent="0.3">
      <c r="A764" s="1" t="s">
        <v>2033</v>
      </c>
      <c r="B764" s="13">
        <v>45214</v>
      </c>
      <c r="C764" s="1" t="s">
        <v>1156</v>
      </c>
      <c r="D764" s="1" t="s">
        <v>41</v>
      </c>
      <c r="E764" s="1">
        <v>74</v>
      </c>
      <c r="F764" s="1" t="s">
        <v>805</v>
      </c>
    </row>
    <row r="765" spans="1:6" x14ac:dyDescent="0.3">
      <c r="A765" s="1" t="s">
        <v>2034</v>
      </c>
      <c r="B765" s="13">
        <v>45214</v>
      </c>
      <c r="C765" s="1" t="s">
        <v>1223</v>
      </c>
      <c r="D765" s="1" t="s">
        <v>41</v>
      </c>
      <c r="E765" s="1">
        <v>49</v>
      </c>
      <c r="F765" s="1" t="s">
        <v>806</v>
      </c>
    </row>
    <row r="766" spans="1:6" x14ac:dyDescent="0.3">
      <c r="A766" s="1" t="s">
        <v>2035</v>
      </c>
      <c r="B766" s="13">
        <v>45214</v>
      </c>
      <c r="C766" s="1" t="s">
        <v>1181</v>
      </c>
      <c r="D766" s="1" t="s">
        <v>43</v>
      </c>
      <c r="E766" s="1">
        <v>64</v>
      </c>
      <c r="F766" s="1" t="s">
        <v>807</v>
      </c>
    </row>
    <row r="767" spans="1:6" x14ac:dyDescent="0.3">
      <c r="A767" s="1" t="s">
        <v>2036</v>
      </c>
      <c r="B767" s="13">
        <v>45215</v>
      </c>
      <c r="C767" s="1" t="s">
        <v>1185</v>
      </c>
      <c r="D767" s="1" t="s">
        <v>43</v>
      </c>
      <c r="E767" s="1">
        <v>93</v>
      </c>
      <c r="F767" s="1" t="s">
        <v>808</v>
      </c>
    </row>
    <row r="768" spans="1:6" x14ac:dyDescent="0.3">
      <c r="A768" s="1" t="s">
        <v>2037</v>
      </c>
      <c r="B768" s="13">
        <v>45215</v>
      </c>
      <c r="C768" s="1" t="s">
        <v>1150</v>
      </c>
      <c r="D768" s="1" t="s">
        <v>41</v>
      </c>
      <c r="E768" s="1">
        <v>24</v>
      </c>
      <c r="F768" s="1" t="s">
        <v>809</v>
      </c>
    </row>
    <row r="769" spans="1:6" x14ac:dyDescent="0.3">
      <c r="A769" s="1" t="s">
        <v>2038</v>
      </c>
      <c r="B769" s="13">
        <v>45215</v>
      </c>
      <c r="C769" s="1" t="s">
        <v>1147</v>
      </c>
      <c r="D769" s="1" t="s">
        <v>43</v>
      </c>
      <c r="E769" s="1">
        <v>85</v>
      </c>
      <c r="F769" s="1" t="s">
        <v>810</v>
      </c>
    </row>
    <row r="770" spans="1:6" x14ac:dyDescent="0.3">
      <c r="A770" s="1" t="s">
        <v>2039</v>
      </c>
      <c r="B770" s="13">
        <v>45215</v>
      </c>
      <c r="C770" s="1" t="s">
        <v>1148</v>
      </c>
      <c r="D770" s="1" t="s">
        <v>43</v>
      </c>
      <c r="E770" s="1">
        <v>81</v>
      </c>
      <c r="F770" s="1" t="s">
        <v>811</v>
      </c>
    </row>
    <row r="771" spans="1:6" x14ac:dyDescent="0.3">
      <c r="A771" s="1" t="s">
        <v>2040</v>
      </c>
      <c r="B771" s="13">
        <v>45215</v>
      </c>
      <c r="C771" s="1" t="s">
        <v>1150</v>
      </c>
      <c r="D771" s="1" t="s">
        <v>41</v>
      </c>
      <c r="E771" s="1">
        <v>52</v>
      </c>
      <c r="F771" s="1" t="s">
        <v>812</v>
      </c>
    </row>
    <row r="772" spans="1:6" x14ac:dyDescent="0.3">
      <c r="A772" s="1" t="s">
        <v>2041</v>
      </c>
      <c r="B772" s="13">
        <v>45215</v>
      </c>
      <c r="C772" s="1" t="s">
        <v>1110</v>
      </c>
      <c r="D772" s="1" t="s">
        <v>41</v>
      </c>
      <c r="E772" s="1">
        <v>78</v>
      </c>
      <c r="F772" s="1" t="s">
        <v>813</v>
      </c>
    </row>
    <row r="773" spans="1:6" x14ac:dyDescent="0.3">
      <c r="A773" s="1" t="s">
        <v>2042</v>
      </c>
      <c r="B773" s="13">
        <v>45215</v>
      </c>
      <c r="C773" s="1" t="s">
        <v>1087</v>
      </c>
      <c r="D773" s="1" t="s">
        <v>43</v>
      </c>
      <c r="E773" s="1">
        <v>44</v>
      </c>
      <c r="F773" s="1" t="s">
        <v>814</v>
      </c>
    </row>
    <row r="774" spans="1:6" x14ac:dyDescent="0.3">
      <c r="A774" s="1" t="s">
        <v>2043</v>
      </c>
      <c r="B774" s="13">
        <v>45217</v>
      </c>
      <c r="C774" s="1" t="s">
        <v>1176</v>
      </c>
      <c r="D774" s="1" t="s">
        <v>43</v>
      </c>
      <c r="E774" s="1">
        <v>38</v>
      </c>
      <c r="F774" s="1" t="s">
        <v>815</v>
      </c>
    </row>
    <row r="775" spans="1:6" x14ac:dyDescent="0.3">
      <c r="A775" s="1" t="s">
        <v>2044</v>
      </c>
      <c r="B775" s="13">
        <v>45217</v>
      </c>
      <c r="C775" s="1" t="s">
        <v>1195</v>
      </c>
      <c r="D775" s="1" t="s">
        <v>41</v>
      </c>
      <c r="E775" s="1">
        <v>31</v>
      </c>
      <c r="F775" s="1" t="s">
        <v>816</v>
      </c>
    </row>
    <row r="776" spans="1:6" x14ac:dyDescent="0.3">
      <c r="A776" s="1" t="s">
        <v>2045</v>
      </c>
      <c r="B776" s="13">
        <v>45217</v>
      </c>
      <c r="C776" s="1" t="s">
        <v>1112</v>
      </c>
      <c r="D776" s="1" t="s">
        <v>41</v>
      </c>
      <c r="E776" s="1">
        <v>46</v>
      </c>
      <c r="F776" s="1" t="s">
        <v>817</v>
      </c>
    </row>
    <row r="777" spans="1:6" x14ac:dyDescent="0.3">
      <c r="A777" s="1" t="s">
        <v>2046</v>
      </c>
      <c r="B777" s="13">
        <v>45217</v>
      </c>
      <c r="C777" s="1" t="s">
        <v>1163</v>
      </c>
      <c r="D777" s="1" t="s">
        <v>43</v>
      </c>
      <c r="E777" s="1">
        <v>88</v>
      </c>
      <c r="F777" s="1" t="s">
        <v>818</v>
      </c>
    </row>
    <row r="778" spans="1:6" x14ac:dyDescent="0.3">
      <c r="A778" s="1" t="s">
        <v>2047</v>
      </c>
      <c r="B778" s="13">
        <v>45218</v>
      </c>
      <c r="C778" s="1" t="s">
        <v>1136</v>
      </c>
      <c r="D778" s="1" t="s">
        <v>43</v>
      </c>
      <c r="E778" s="1">
        <v>90</v>
      </c>
      <c r="F778" s="1" t="s">
        <v>819</v>
      </c>
    </row>
    <row r="779" spans="1:6" x14ac:dyDescent="0.3">
      <c r="A779" s="1" t="s">
        <v>2048</v>
      </c>
      <c r="B779" s="13">
        <v>45218</v>
      </c>
      <c r="C779" s="1" t="s">
        <v>1138</v>
      </c>
      <c r="D779" s="1" t="s">
        <v>41</v>
      </c>
      <c r="E779" s="1">
        <v>64</v>
      </c>
      <c r="F779" s="1" t="s">
        <v>820</v>
      </c>
    </row>
    <row r="780" spans="1:6" x14ac:dyDescent="0.3">
      <c r="A780" s="1" t="s">
        <v>2049</v>
      </c>
      <c r="B780" s="13">
        <v>45219</v>
      </c>
      <c r="C780" s="1" t="s">
        <v>1212</v>
      </c>
      <c r="D780" s="1" t="s">
        <v>41</v>
      </c>
      <c r="E780" s="1">
        <v>55</v>
      </c>
      <c r="F780" s="1" t="s">
        <v>821</v>
      </c>
    </row>
    <row r="781" spans="1:6" x14ac:dyDescent="0.3">
      <c r="A781" s="1" t="s">
        <v>2050</v>
      </c>
      <c r="B781" s="13">
        <v>45219</v>
      </c>
      <c r="C781" s="1" t="s">
        <v>1263</v>
      </c>
      <c r="D781" s="1" t="s">
        <v>41</v>
      </c>
      <c r="E781" s="1">
        <v>88</v>
      </c>
      <c r="F781" s="1" t="s">
        <v>822</v>
      </c>
    </row>
    <row r="782" spans="1:6" x14ac:dyDescent="0.3">
      <c r="A782" s="1" t="s">
        <v>2051</v>
      </c>
      <c r="B782" s="13">
        <v>45219</v>
      </c>
      <c r="C782" s="1" t="s">
        <v>1136</v>
      </c>
      <c r="D782" s="1" t="s">
        <v>41</v>
      </c>
      <c r="E782" s="1">
        <v>29</v>
      </c>
      <c r="F782" s="1" t="s">
        <v>823</v>
      </c>
    </row>
    <row r="783" spans="1:6" x14ac:dyDescent="0.3">
      <c r="A783" s="1" t="s">
        <v>2052</v>
      </c>
      <c r="B783" s="13">
        <v>45219</v>
      </c>
      <c r="C783" s="1" t="s">
        <v>1091</v>
      </c>
      <c r="D783" s="1" t="s">
        <v>43</v>
      </c>
      <c r="E783" s="1">
        <v>31</v>
      </c>
      <c r="F783" s="1" t="s">
        <v>824</v>
      </c>
    </row>
    <row r="784" spans="1:6" x14ac:dyDescent="0.3">
      <c r="A784" s="1" t="s">
        <v>2053</v>
      </c>
      <c r="B784" s="13">
        <v>45219</v>
      </c>
      <c r="C784" s="1" t="s">
        <v>1099</v>
      </c>
      <c r="D784" s="1" t="s">
        <v>41</v>
      </c>
      <c r="E784" s="1">
        <v>63</v>
      </c>
      <c r="F784" s="1" t="s">
        <v>825</v>
      </c>
    </row>
    <row r="785" spans="1:6" x14ac:dyDescent="0.3">
      <c r="A785" s="1" t="s">
        <v>2054</v>
      </c>
      <c r="B785" s="13">
        <v>45219</v>
      </c>
      <c r="C785" s="1" t="s">
        <v>1151</v>
      </c>
      <c r="D785" s="1" t="s">
        <v>41</v>
      </c>
      <c r="E785" s="1">
        <v>75</v>
      </c>
      <c r="F785" s="1" t="s">
        <v>826</v>
      </c>
    </row>
    <row r="786" spans="1:6" x14ac:dyDescent="0.3">
      <c r="A786" s="1" t="s">
        <v>2055</v>
      </c>
      <c r="B786" s="13">
        <v>45219</v>
      </c>
      <c r="C786" s="1" t="s">
        <v>1189</v>
      </c>
      <c r="D786" s="1" t="s">
        <v>41</v>
      </c>
      <c r="E786" s="1">
        <v>63</v>
      </c>
      <c r="F786" s="1" t="s">
        <v>827</v>
      </c>
    </row>
    <row r="787" spans="1:6" x14ac:dyDescent="0.3">
      <c r="A787" s="1" t="s">
        <v>2056</v>
      </c>
      <c r="B787" s="13">
        <v>45219</v>
      </c>
      <c r="C787" s="1" t="s">
        <v>1108</v>
      </c>
      <c r="D787" s="1" t="s">
        <v>43</v>
      </c>
      <c r="E787" s="1">
        <v>32</v>
      </c>
      <c r="F787" s="1" t="s">
        <v>828</v>
      </c>
    </row>
    <row r="788" spans="1:6" x14ac:dyDescent="0.3">
      <c r="A788" s="1" t="s">
        <v>2057</v>
      </c>
      <c r="B788" s="13">
        <v>45220</v>
      </c>
      <c r="C788" s="1" t="s">
        <v>1101</v>
      </c>
      <c r="D788" s="1" t="s">
        <v>41</v>
      </c>
      <c r="E788" s="1">
        <v>65</v>
      </c>
      <c r="F788" s="1" t="s">
        <v>829</v>
      </c>
    </row>
    <row r="789" spans="1:6" x14ac:dyDescent="0.3">
      <c r="A789" s="1" t="s">
        <v>2058</v>
      </c>
      <c r="B789" s="13">
        <v>45220</v>
      </c>
      <c r="C789" s="1" t="s">
        <v>1191</v>
      </c>
      <c r="D789" s="1" t="s">
        <v>43</v>
      </c>
      <c r="E789" s="1">
        <v>57</v>
      </c>
      <c r="F789" s="1" t="s">
        <v>830</v>
      </c>
    </row>
    <row r="790" spans="1:6" x14ac:dyDescent="0.3">
      <c r="A790" s="1" t="s">
        <v>2059</v>
      </c>
      <c r="B790" s="13">
        <v>45221</v>
      </c>
      <c r="C790" s="1" t="s">
        <v>1164</v>
      </c>
      <c r="D790" s="1" t="s">
        <v>43</v>
      </c>
      <c r="E790" s="1">
        <v>57</v>
      </c>
      <c r="F790" s="1" t="s">
        <v>831</v>
      </c>
    </row>
    <row r="791" spans="1:6" x14ac:dyDescent="0.3">
      <c r="A791" s="1" t="s">
        <v>2060</v>
      </c>
      <c r="B791" s="13">
        <v>45221</v>
      </c>
      <c r="C791" s="1" t="s">
        <v>1217</v>
      </c>
      <c r="D791" s="1" t="s">
        <v>41</v>
      </c>
      <c r="E791" s="1">
        <v>38</v>
      </c>
      <c r="F791" s="1" t="s">
        <v>832</v>
      </c>
    </row>
    <row r="792" spans="1:6" x14ac:dyDescent="0.3">
      <c r="A792" s="1" t="s">
        <v>2061</v>
      </c>
      <c r="B792" s="13">
        <v>45221</v>
      </c>
      <c r="C792" s="1" t="s">
        <v>1181</v>
      </c>
      <c r="D792" s="1" t="s">
        <v>41</v>
      </c>
      <c r="E792" s="1">
        <v>59</v>
      </c>
      <c r="F792" s="1" t="s">
        <v>833</v>
      </c>
    </row>
    <row r="793" spans="1:6" x14ac:dyDescent="0.3">
      <c r="A793" s="1" t="s">
        <v>2062</v>
      </c>
      <c r="B793" s="13">
        <v>45221</v>
      </c>
      <c r="C793" s="1" t="s">
        <v>1219</v>
      </c>
      <c r="D793" s="1" t="s">
        <v>43</v>
      </c>
      <c r="E793" s="1">
        <v>37</v>
      </c>
      <c r="F793" s="1" t="s">
        <v>834</v>
      </c>
    </row>
    <row r="794" spans="1:6" x14ac:dyDescent="0.3">
      <c r="A794" s="1" t="s">
        <v>2063</v>
      </c>
      <c r="B794" s="13">
        <v>45222</v>
      </c>
      <c r="C794" s="1" t="s">
        <v>1099</v>
      </c>
      <c r="D794" s="1" t="s">
        <v>43</v>
      </c>
      <c r="E794" s="1">
        <v>48</v>
      </c>
      <c r="F794" s="1" t="s">
        <v>835</v>
      </c>
    </row>
    <row r="795" spans="1:6" x14ac:dyDescent="0.3">
      <c r="A795" s="1" t="s">
        <v>2064</v>
      </c>
      <c r="B795" s="13">
        <v>45222</v>
      </c>
      <c r="C795" s="1" t="s">
        <v>1165</v>
      </c>
      <c r="D795" s="1" t="s">
        <v>43</v>
      </c>
      <c r="E795" s="1">
        <v>33</v>
      </c>
      <c r="F795" s="1" t="s">
        <v>836</v>
      </c>
    </row>
    <row r="796" spans="1:6" x14ac:dyDescent="0.3">
      <c r="A796" s="1" t="s">
        <v>2065</v>
      </c>
      <c r="B796" s="13">
        <v>45222</v>
      </c>
      <c r="C796" s="1" t="s">
        <v>1090</v>
      </c>
      <c r="D796" s="1" t="s">
        <v>41</v>
      </c>
      <c r="E796" s="1">
        <v>32</v>
      </c>
      <c r="F796" s="1" t="s">
        <v>837</v>
      </c>
    </row>
    <row r="797" spans="1:6" x14ac:dyDescent="0.3">
      <c r="A797" s="1" t="s">
        <v>2066</v>
      </c>
      <c r="B797" s="13">
        <v>45222</v>
      </c>
      <c r="C797" s="1" t="s">
        <v>1102</v>
      </c>
      <c r="D797" s="1" t="s">
        <v>43</v>
      </c>
      <c r="E797" s="1">
        <v>43</v>
      </c>
      <c r="F797" s="1" t="s">
        <v>838</v>
      </c>
    </row>
    <row r="798" spans="1:6" x14ac:dyDescent="0.3">
      <c r="A798" s="1" t="s">
        <v>2067</v>
      </c>
      <c r="B798" s="13">
        <v>45222</v>
      </c>
      <c r="C798" s="1" t="s">
        <v>1132</v>
      </c>
      <c r="D798" s="1" t="s">
        <v>41</v>
      </c>
      <c r="E798" s="1">
        <v>97</v>
      </c>
      <c r="F798" s="1" t="s">
        <v>839</v>
      </c>
    </row>
    <row r="799" spans="1:6" x14ac:dyDescent="0.3">
      <c r="A799" s="1" t="s">
        <v>2068</v>
      </c>
      <c r="B799" s="13">
        <v>45223</v>
      </c>
      <c r="C799" s="1" t="s">
        <v>1214</v>
      </c>
      <c r="D799" s="1" t="s">
        <v>43</v>
      </c>
      <c r="E799" s="1">
        <v>37</v>
      </c>
      <c r="F799" s="1" t="s">
        <v>840</v>
      </c>
    </row>
    <row r="800" spans="1:6" x14ac:dyDescent="0.3">
      <c r="A800" s="1" t="s">
        <v>2069</v>
      </c>
      <c r="B800" s="13">
        <v>45223</v>
      </c>
      <c r="C800" s="1" t="s">
        <v>1191</v>
      </c>
      <c r="D800" s="1" t="s">
        <v>41</v>
      </c>
      <c r="E800" s="1">
        <v>74</v>
      </c>
      <c r="F800" s="1" t="s">
        <v>841</v>
      </c>
    </row>
    <row r="801" spans="1:6" x14ac:dyDescent="0.3">
      <c r="A801" s="1" t="s">
        <v>2070</v>
      </c>
      <c r="B801" s="13">
        <v>45225</v>
      </c>
      <c r="C801" s="1" t="s">
        <v>1246</v>
      </c>
      <c r="D801" s="1" t="s">
        <v>43</v>
      </c>
      <c r="E801" s="1">
        <v>76</v>
      </c>
      <c r="F801" s="1" t="s">
        <v>842</v>
      </c>
    </row>
    <row r="802" spans="1:6" x14ac:dyDescent="0.3">
      <c r="A802" s="1" t="s">
        <v>2071</v>
      </c>
      <c r="B802" s="13">
        <v>45226</v>
      </c>
      <c r="C802" s="1" t="s">
        <v>1230</v>
      </c>
      <c r="D802" s="1" t="s">
        <v>41</v>
      </c>
      <c r="E802" s="1">
        <v>100</v>
      </c>
      <c r="F802" s="1" t="s">
        <v>843</v>
      </c>
    </row>
    <row r="803" spans="1:6" x14ac:dyDescent="0.3">
      <c r="A803" s="1" t="s">
        <v>2072</v>
      </c>
      <c r="B803" s="13">
        <v>45226</v>
      </c>
      <c r="C803" s="1" t="s">
        <v>1112</v>
      </c>
      <c r="D803" s="1" t="s">
        <v>41</v>
      </c>
      <c r="E803" s="1">
        <v>64</v>
      </c>
      <c r="F803" s="1" t="s">
        <v>844</v>
      </c>
    </row>
    <row r="804" spans="1:6" x14ac:dyDescent="0.3">
      <c r="A804" s="1" t="s">
        <v>2073</v>
      </c>
      <c r="B804" s="13">
        <v>45227</v>
      </c>
      <c r="C804" s="1" t="s">
        <v>1179</v>
      </c>
      <c r="D804" s="1" t="s">
        <v>43</v>
      </c>
      <c r="E804" s="1">
        <v>41</v>
      </c>
      <c r="F804" s="1" t="s">
        <v>845</v>
      </c>
    </row>
    <row r="805" spans="1:6" x14ac:dyDescent="0.3">
      <c r="A805" s="1" t="s">
        <v>2074</v>
      </c>
      <c r="B805" s="13">
        <v>45227</v>
      </c>
      <c r="C805" s="1" t="s">
        <v>1132</v>
      </c>
      <c r="D805" s="1" t="s">
        <v>43</v>
      </c>
      <c r="E805" s="1">
        <v>84</v>
      </c>
      <c r="F805" s="1" t="s">
        <v>846</v>
      </c>
    </row>
    <row r="806" spans="1:6" x14ac:dyDescent="0.3">
      <c r="A806" s="1" t="s">
        <v>2075</v>
      </c>
      <c r="B806" s="13">
        <v>45227</v>
      </c>
      <c r="C806" s="1" t="s">
        <v>1238</v>
      </c>
      <c r="D806" s="1" t="s">
        <v>43</v>
      </c>
      <c r="E806" s="1">
        <v>61</v>
      </c>
      <c r="F806" s="1" t="s">
        <v>847</v>
      </c>
    </row>
    <row r="807" spans="1:6" x14ac:dyDescent="0.3">
      <c r="A807" s="1" t="s">
        <v>2076</v>
      </c>
      <c r="B807" s="13">
        <v>45227</v>
      </c>
      <c r="C807" s="1" t="s">
        <v>1136</v>
      </c>
      <c r="D807" s="1" t="s">
        <v>43</v>
      </c>
      <c r="E807" s="1">
        <v>24</v>
      </c>
      <c r="F807" s="1" t="s">
        <v>848</v>
      </c>
    </row>
    <row r="808" spans="1:6" x14ac:dyDescent="0.3">
      <c r="A808" s="1" t="s">
        <v>2077</v>
      </c>
      <c r="B808" s="13">
        <v>45228</v>
      </c>
      <c r="C808" s="1" t="s">
        <v>1199</v>
      </c>
      <c r="D808" s="1" t="s">
        <v>43</v>
      </c>
      <c r="E808" s="1">
        <v>86</v>
      </c>
      <c r="F808" s="1" t="s">
        <v>849</v>
      </c>
    </row>
    <row r="809" spans="1:6" x14ac:dyDescent="0.3">
      <c r="A809" s="1" t="s">
        <v>2078</v>
      </c>
      <c r="B809" s="13">
        <v>45228</v>
      </c>
      <c r="C809" s="1" t="s">
        <v>1240</v>
      </c>
      <c r="D809" s="1" t="s">
        <v>41</v>
      </c>
      <c r="E809" s="1">
        <v>93</v>
      </c>
      <c r="F809" s="1" t="s">
        <v>850</v>
      </c>
    </row>
    <row r="810" spans="1:6" x14ac:dyDescent="0.3">
      <c r="A810" s="1" t="s">
        <v>2079</v>
      </c>
      <c r="B810" s="13">
        <v>45228</v>
      </c>
      <c r="C810" s="1" t="s">
        <v>1251</v>
      </c>
      <c r="D810" s="1" t="s">
        <v>43</v>
      </c>
      <c r="E810" s="1">
        <v>99</v>
      </c>
      <c r="F810" s="1" t="s">
        <v>851</v>
      </c>
    </row>
    <row r="811" spans="1:6" x14ac:dyDescent="0.3">
      <c r="A811" s="1" t="s">
        <v>2080</v>
      </c>
      <c r="B811" s="13">
        <v>45228</v>
      </c>
      <c r="C811" s="1" t="s">
        <v>1195</v>
      </c>
      <c r="D811" s="1" t="s">
        <v>43</v>
      </c>
      <c r="E811" s="1">
        <v>30</v>
      </c>
      <c r="F811" s="1" t="s">
        <v>852</v>
      </c>
    </row>
    <row r="812" spans="1:6" x14ac:dyDescent="0.3">
      <c r="A812" s="1" t="s">
        <v>2081</v>
      </c>
      <c r="B812" s="13">
        <v>45228</v>
      </c>
      <c r="C812" s="1" t="s">
        <v>1236</v>
      </c>
      <c r="D812" s="1" t="s">
        <v>41</v>
      </c>
      <c r="E812" s="1">
        <v>75</v>
      </c>
      <c r="F812" s="1" t="s">
        <v>853</v>
      </c>
    </row>
    <row r="813" spans="1:6" x14ac:dyDescent="0.3">
      <c r="A813" s="1" t="s">
        <v>2082</v>
      </c>
      <c r="B813" s="13">
        <v>45229</v>
      </c>
      <c r="C813" s="1" t="s">
        <v>1219</v>
      </c>
      <c r="D813" s="1" t="s">
        <v>43</v>
      </c>
      <c r="E813" s="1">
        <v>39</v>
      </c>
      <c r="F813" s="1" t="s">
        <v>854</v>
      </c>
    </row>
    <row r="814" spans="1:6" x14ac:dyDescent="0.3">
      <c r="A814" s="1" t="s">
        <v>2083</v>
      </c>
      <c r="B814" s="13">
        <v>45229</v>
      </c>
      <c r="C814" s="1" t="s">
        <v>1265</v>
      </c>
      <c r="D814" s="1" t="s">
        <v>43</v>
      </c>
      <c r="E814" s="1">
        <v>77</v>
      </c>
      <c r="F814" s="1" t="s">
        <v>855</v>
      </c>
    </row>
    <row r="815" spans="1:6" x14ac:dyDescent="0.3">
      <c r="A815" s="1" t="s">
        <v>2084</v>
      </c>
      <c r="B815" s="13">
        <v>45229</v>
      </c>
      <c r="C815" s="1" t="s">
        <v>1229</v>
      </c>
      <c r="D815" s="1" t="s">
        <v>43</v>
      </c>
      <c r="E815" s="1">
        <v>1</v>
      </c>
      <c r="F815" s="1" t="s">
        <v>856</v>
      </c>
    </row>
    <row r="816" spans="1:6" x14ac:dyDescent="0.3">
      <c r="A816" s="1" t="s">
        <v>2085</v>
      </c>
      <c r="B816" s="13">
        <v>45229</v>
      </c>
      <c r="C816" s="1" t="s">
        <v>1159</v>
      </c>
      <c r="D816" s="1" t="s">
        <v>43</v>
      </c>
      <c r="E816" s="1">
        <v>58</v>
      </c>
      <c r="F816" s="1" t="s">
        <v>857</v>
      </c>
    </row>
    <row r="817" spans="1:6" x14ac:dyDescent="0.3">
      <c r="A817" s="1" t="s">
        <v>2086</v>
      </c>
      <c r="B817" s="13">
        <v>45229</v>
      </c>
      <c r="C817" s="1" t="s">
        <v>1112</v>
      </c>
      <c r="D817" s="1" t="s">
        <v>43</v>
      </c>
      <c r="E817" s="1">
        <v>64</v>
      </c>
      <c r="F817" s="1" t="s">
        <v>858</v>
      </c>
    </row>
    <row r="818" spans="1:6" x14ac:dyDescent="0.3">
      <c r="A818" s="1" t="s">
        <v>2087</v>
      </c>
      <c r="B818" s="13">
        <v>45230</v>
      </c>
      <c r="C818" s="1" t="s">
        <v>1220</v>
      </c>
      <c r="D818" s="1" t="s">
        <v>43</v>
      </c>
      <c r="E818" s="1">
        <v>88</v>
      </c>
      <c r="F818" s="1" t="s">
        <v>859</v>
      </c>
    </row>
    <row r="819" spans="1:6" x14ac:dyDescent="0.3">
      <c r="A819" s="1" t="s">
        <v>2088</v>
      </c>
      <c r="B819" s="13">
        <v>45231</v>
      </c>
      <c r="C819" s="1" t="s">
        <v>1190</v>
      </c>
      <c r="D819" s="1" t="s">
        <v>43</v>
      </c>
      <c r="E819" s="1">
        <v>72</v>
      </c>
      <c r="F819" s="1" t="s">
        <v>860</v>
      </c>
    </row>
    <row r="820" spans="1:6" x14ac:dyDescent="0.3">
      <c r="A820" s="1" t="s">
        <v>2089</v>
      </c>
      <c r="B820" s="13">
        <v>45231</v>
      </c>
      <c r="C820" s="1" t="s">
        <v>1266</v>
      </c>
      <c r="D820" s="1" t="s">
        <v>43</v>
      </c>
      <c r="E820" s="1">
        <v>12</v>
      </c>
      <c r="F820" s="1" t="s">
        <v>861</v>
      </c>
    </row>
    <row r="821" spans="1:6" x14ac:dyDescent="0.3">
      <c r="A821" s="1" t="s">
        <v>2090</v>
      </c>
      <c r="B821" s="13">
        <v>45231</v>
      </c>
      <c r="C821" s="1" t="s">
        <v>1142</v>
      </c>
      <c r="D821" s="1" t="s">
        <v>43</v>
      </c>
      <c r="E821" s="1">
        <v>58</v>
      </c>
      <c r="F821" s="1" t="s">
        <v>862</v>
      </c>
    </row>
    <row r="822" spans="1:6" x14ac:dyDescent="0.3">
      <c r="A822" s="1" t="s">
        <v>2091</v>
      </c>
      <c r="B822" s="13">
        <v>45231</v>
      </c>
      <c r="C822" s="1" t="s">
        <v>1228</v>
      </c>
      <c r="D822" s="1" t="s">
        <v>43</v>
      </c>
      <c r="E822" s="1">
        <v>99</v>
      </c>
      <c r="F822" s="1" t="s">
        <v>863</v>
      </c>
    </row>
    <row r="823" spans="1:6" x14ac:dyDescent="0.3">
      <c r="A823" s="1" t="s">
        <v>2092</v>
      </c>
      <c r="B823" s="13">
        <v>45231</v>
      </c>
      <c r="C823" s="1" t="s">
        <v>1113</v>
      </c>
      <c r="D823" s="1" t="s">
        <v>43</v>
      </c>
      <c r="E823" s="1">
        <v>25</v>
      </c>
      <c r="F823" s="1" t="s">
        <v>864</v>
      </c>
    </row>
    <row r="824" spans="1:6" x14ac:dyDescent="0.3">
      <c r="A824" s="1" t="s">
        <v>2093</v>
      </c>
      <c r="B824" s="13">
        <v>45231</v>
      </c>
      <c r="C824" s="1" t="s">
        <v>1249</v>
      </c>
      <c r="D824" s="1" t="s">
        <v>43</v>
      </c>
      <c r="E824" s="1">
        <v>98</v>
      </c>
      <c r="F824" s="1" t="s">
        <v>865</v>
      </c>
    </row>
    <row r="825" spans="1:6" x14ac:dyDescent="0.3">
      <c r="A825" s="1" t="s">
        <v>2094</v>
      </c>
      <c r="B825" s="13">
        <v>45232</v>
      </c>
      <c r="C825" s="1" t="s">
        <v>1085</v>
      </c>
      <c r="D825" s="1" t="s">
        <v>41</v>
      </c>
      <c r="E825" s="1">
        <v>75</v>
      </c>
      <c r="F825" s="1" t="s">
        <v>866</v>
      </c>
    </row>
    <row r="826" spans="1:6" x14ac:dyDescent="0.3">
      <c r="A826" s="1" t="s">
        <v>2095</v>
      </c>
      <c r="B826" s="13">
        <v>45233</v>
      </c>
      <c r="C826" s="1" t="s">
        <v>1217</v>
      </c>
      <c r="D826" s="1" t="s">
        <v>41</v>
      </c>
      <c r="E826" s="1">
        <v>80</v>
      </c>
      <c r="F826" s="1" t="s">
        <v>867</v>
      </c>
    </row>
    <row r="827" spans="1:6" x14ac:dyDescent="0.3">
      <c r="A827" s="1" t="s">
        <v>2096</v>
      </c>
      <c r="B827" s="13">
        <v>45233</v>
      </c>
      <c r="C827" s="1" t="s">
        <v>1260</v>
      </c>
      <c r="D827" s="1" t="s">
        <v>43</v>
      </c>
      <c r="E827" s="1">
        <v>20</v>
      </c>
      <c r="F827" s="1" t="s">
        <v>868</v>
      </c>
    </row>
    <row r="828" spans="1:6" x14ac:dyDescent="0.3">
      <c r="A828" s="1" t="s">
        <v>2097</v>
      </c>
      <c r="B828" s="13">
        <v>45235</v>
      </c>
      <c r="C828" s="1" t="s">
        <v>1147</v>
      </c>
      <c r="D828" s="1" t="s">
        <v>43</v>
      </c>
      <c r="E828" s="1">
        <v>93</v>
      </c>
      <c r="F828" s="1" t="s">
        <v>869</v>
      </c>
    </row>
    <row r="829" spans="1:6" x14ac:dyDescent="0.3">
      <c r="A829" s="1" t="s">
        <v>2098</v>
      </c>
      <c r="B829" s="13">
        <v>45235</v>
      </c>
      <c r="C829" s="1" t="s">
        <v>1230</v>
      </c>
      <c r="D829" s="1" t="s">
        <v>41</v>
      </c>
      <c r="E829" s="1">
        <v>66</v>
      </c>
      <c r="F829" s="1" t="s">
        <v>870</v>
      </c>
    </row>
    <row r="830" spans="1:6" x14ac:dyDescent="0.3">
      <c r="A830" s="1" t="s">
        <v>2099</v>
      </c>
      <c r="B830" s="13">
        <v>45235</v>
      </c>
      <c r="C830" s="1" t="s">
        <v>1231</v>
      </c>
      <c r="D830" s="1" t="s">
        <v>43</v>
      </c>
      <c r="E830" s="1">
        <v>10</v>
      </c>
      <c r="F830" s="1" t="s">
        <v>871</v>
      </c>
    </row>
    <row r="831" spans="1:6" x14ac:dyDescent="0.3">
      <c r="A831" s="1" t="s">
        <v>2100</v>
      </c>
      <c r="B831" s="13">
        <v>45235</v>
      </c>
      <c r="C831" s="1" t="s">
        <v>1251</v>
      </c>
      <c r="D831" s="1" t="s">
        <v>41</v>
      </c>
      <c r="E831" s="1">
        <v>90</v>
      </c>
      <c r="F831" s="1" t="s">
        <v>872</v>
      </c>
    </row>
    <row r="832" spans="1:6" x14ac:dyDescent="0.3">
      <c r="A832" s="1" t="s">
        <v>2101</v>
      </c>
      <c r="B832" s="13">
        <v>45235</v>
      </c>
      <c r="C832" s="1" t="s">
        <v>1101</v>
      </c>
      <c r="D832" s="1" t="s">
        <v>41</v>
      </c>
      <c r="E832" s="1">
        <v>19</v>
      </c>
      <c r="F832" s="1" t="s">
        <v>873</v>
      </c>
    </row>
    <row r="833" spans="1:6" x14ac:dyDescent="0.3">
      <c r="A833" s="1" t="s">
        <v>2102</v>
      </c>
      <c r="B833" s="13">
        <v>45236</v>
      </c>
      <c r="C833" s="1" t="s">
        <v>1193</v>
      </c>
      <c r="D833" s="1" t="s">
        <v>41</v>
      </c>
      <c r="E833" s="1">
        <v>72</v>
      </c>
      <c r="F833" s="1" t="s">
        <v>874</v>
      </c>
    </row>
    <row r="834" spans="1:6" x14ac:dyDescent="0.3">
      <c r="A834" s="1" t="s">
        <v>2103</v>
      </c>
      <c r="B834" s="13">
        <v>45236</v>
      </c>
      <c r="C834" s="1" t="s">
        <v>1150</v>
      </c>
      <c r="D834" s="1" t="s">
        <v>43</v>
      </c>
      <c r="E834" s="1">
        <v>60</v>
      </c>
      <c r="F834" s="1" t="s">
        <v>875</v>
      </c>
    </row>
    <row r="835" spans="1:6" x14ac:dyDescent="0.3">
      <c r="A835" s="1" t="s">
        <v>2104</v>
      </c>
      <c r="B835" s="13">
        <v>45236</v>
      </c>
      <c r="C835" s="1" t="s">
        <v>1232</v>
      </c>
      <c r="D835" s="1" t="s">
        <v>41</v>
      </c>
      <c r="E835" s="1">
        <v>26</v>
      </c>
      <c r="F835" s="1" t="s">
        <v>876</v>
      </c>
    </row>
    <row r="836" spans="1:6" x14ac:dyDescent="0.3">
      <c r="A836" s="1" t="s">
        <v>2105</v>
      </c>
      <c r="B836" s="13">
        <v>45236</v>
      </c>
      <c r="C836" s="1" t="s">
        <v>1199</v>
      </c>
      <c r="D836" s="1" t="s">
        <v>41</v>
      </c>
      <c r="E836" s="1">
        <v>85</v>
      </c>
      <c r="F836" s="1" t="s">
        <v>877</v>
      </c>
    </row>
    <row r="837" spans="1:6" x14ac:dyDescent="0.3">
      <c r="A837" s="1" t="s">
        <v>2106</v>
      </c>
      <c r="B837" s="13">
        <v>45237</v>
      </c>
      <c r="C837" s="1" t="s">
        <v>1132</v>
      </c>
      <c r="D837" s="1" t="s">
        <v>43</v>
      </c>
      <c r="E837" s="1">
        <v>90</v>
      </c>
      <c r="F837" s="1" t="s">
        <v>878</v>
      </c>
    </row>
    <row r="838" spans="1:6" x14ac:dyDescent="0.3">
      <c r="A838" s="1" t="s">
        <v>2107</v>
      </c>
      <c r="B838" s="13">
        <v>45237</v>
      </c>
      <c r="C838" s="1" t="s">
        <v>1110</v>
      </c>
      <c r="D838" s="1" t="s">
        <v>41</v>
      </c>
      <c r="E838" s="1">
        <v>35</v>
      </c>
      <c r="F838" s="1" t="s">
        <v>879</v>
      </c>
    </row>
    <row r="839" spans="1:6" x14ac:dyDescent="0.3">
      <c r="A839" s="1" t="s">
        <v>2108</v>
      </c>
      <c r="B839" s="13">
        <v>45237</v>
      </c>
      <c r="C839" s="1" t="s">
        <v>1132</v>
      </c>
      <c r="D839" s="1" t="s">
        <v>41</v>
      </c>
      <c r="E839" s="1">
        <v>50</v>
      </c>
      <c r="F839" s="1" t="s">
        <v>880</v>
      </c>
    </row>
    <row r="840" spans="1:6" x14ac:dyDescent="0.3">
      <c r="A840" s="1" t="s">
        <v>2109</v>
      </c>
      <c r="B840" s="13">
        <v>45237</v>
      </c>
      <c r="C840" s="1" t="s">
        <v>1201</v>
      </c>
      <c r="D840" s="1" t="s">
        <v>43</v>
      </c>
      <c r="E840" s="1">
        <v>43</v>
      </c>
      <c r="F840" s="1" t="s">
        <v>881</v>
      </c>
    </row>
    <row r="841" spans="1:6" x14ac:dyDescent="0.3">
      <c r="A841" s="1" t="s">
        <v>2110</v>
      </c>
      <c r="B841" s="13">
        <v>45238</v>
      </c>
      <c r="C841" s="1" t="s">
        <v>1111</v>
      </c>
      <c r="D841" s="1" t="s">
        <v>43</v>
      </c>
      <c r="E841" s="1">
        <v>99</v>
      </c>
      <c r="F841" s="1" t="s">
        <v>882</v>
      </c>
    </row>
    <row r="842" spans="1:6" x14ac:dyDescent="0.3">
      <c r="A842" s="1" t="s">
        <v>2111</v>
      </c>
      <c r="B842" s="13">
        <v>45238</v>
      </c>
      <c r="C842" s="1" t="s">
        <v>1147</v>
      </c>
      <c r="D842" s="1" t="s">
        <v>43</v>
      </c>
      <c r="E842" s="1">
        <v>99</v>
      </c>
      <c r="F842" s="1" t="s">
        <v>883</v>
      </c>
    </row>
    <row r="843" spans="1:6" x14ac:dyDescent="0.3">
      <c r="A843" s="1" t="s">
        <v>2112</v>
      </c>
      <c r="B843" s="13">
        <v>45239</v>
      </c>
      <c r="C843" s="1" t="s">
        <v>1150</v>
      </c>
      <c r="D843" s="1" t="s">
        <v>41</v>
      </c>
      <c r="E843" s="1">
        <v>45</v>
      </c>
      <c r="F843" s="1" t="s">
        <v>884</v>
      </c>
    </row>
    <row r="844" spans="1:6" x14ac:dyDescent="0.3">
      <c r="A844" s="1" t="s">
        <v>2113</v>
      </c>
      <c r="B844" s="13">
        <v>45239</v>
      </c>
      <c r="C844" s="1" t="s">
        <v>1214</v>
      </c>
      <c r="D844" s="1" t="s">
        <v>43</v>
      </c>
      <c r="E844" s="1">
        <v>44</v>
      </c>
      <c r="F844" s="1" t="s">
        <v>885</v>
      </c>
    </row>
    <row r="845" spans="1:6" x14ac:dyDescent="0.3">
      <c r="A845" s="1" t="s">
        <v>2114</v>
      </c>
      <c r="B845" s="13">
        <v>45239</v>
      </c>
      <c r="C845" s="1" t="s">
        <v>1227</v>
      </c>
      <c r="D845" s="1" t="s">
        <v>43</v>
      </c>
      <c r="E845" s="1">
        <v>62</v>
      </c>
      <c r="F845" s="1" t="s">
        <v>886</v>
      </c>
    </row>
    <row r="846" spans="1:6" x14ac:dyDescent="0.3">
      <c r="A846" s="1" t="s">
        <v>2115</v>
      </c>
      <c r="B846" s="13">
        <v>45239</v>
      </c>
      <c r="C846" s="1" t="s">
        <v>1204</v>
      </c>
      <c r="D846" s="1" t="s">
        <v>41</v>
      </c>
      <c r="E846" s="1">
        <v>16</v>
      </c>
      <c r="F846" s="1" t="s">
        <v>887</v>
      </c>
    </row>
    <row r="847" spans="1:6" x14ac:dyDescent="0.3">
      <c r="A847" s="1" t="s">
        <v>2116</v>
      </c>
      <c r="B847" s="13">
        <v>45239</v>
      </c>
      <c r="C847" s="1" t="s">
        <v>1172</v>
      </c>
      <c r="D847" s="1" t="s">
        <v>43</v>
      </c>
      <c r="E847" s="1">
        <v>99</v>
      </c>
      <c r="F847" s="1" t="s">
        <v>888</v>
      </c>
    </row>
    <row r="848" spans="1:6" x14ac:dyDescent="0.3">
      <c r="A848" s="1" t="s">
        <v>2117</v>
      </c>
      <c r="B848" s="13">
        <v>45240</v>
      </c>
      <c r="C848" s="1" t="s">
        <v>1191</v>
      </c>
      <c r="D848" s="1" t="s">
        <v>41</v>
      </c>
      <c r="E848" s="1">
        <v>71</v>
      </c>
      <c r="F848" s="1" t="s">
        <v>889</v>
      </c>
    </row>
    <row r="849" spans="1:6" x14ac:dyDescent="0.3">
      <c r="A849" s="1" t="s">
        <v>2118</v>
      </c>
      <c r="B849" s="13">
        <v>45240</v>
      </c>
      <c r="C849" s="1" t="s">
        <v>1111</v>
      </c>
      <c r="D849" s="1" t="s">
        <v>41</v>
      </c>
      <c r="E849" s="1">
        <v>13</v>
      </c>
      <c r="F849" s="1" t="s">
        <v>890</v>
      </c>
    </row>
    <row r="850" spans="1:6" x14ac:dyDescent="0.3">
      <c r="A850" s="1" t="s">
        <v>2119</v>
      </c>
      <c r="B850" s="13">
        <v>45241</v>
      </c>
      <c r="C850" s="1" t="s">
        <v>1113</v>
      </c>
      <c r="D850" s="1" t="s">
        <v>43</v>
      </c>
      <c r="E850" s="1">
        <v>43</v>
      </c>
      <c r="F850" s="1" t="s">
        <v>891</v>
      </c>
    </row>
    <row r="851" spans="1:6" x14ac:dyDescent="0.3">
      <c r="A851" s="1" t="s">
        <v>2120</v>
      </c>
      <c r="B851" s="13">
        <v>45241</v>
      </c>
      <c r="C851" s="1" t="s">
        <v>1242</v>
      </c>
      <c r="D851" s="1" t="s">
        <v>41</v>
      </c>
      <c r="E851" s="1">
        <v>22</v>
      </c>
      <c r="F851" s="1" t="s">
        <v>892</v>
      </c>
    </row>
    <row r="852" spans="1:6" x14ac:dyDescent="0.3">
      <c r="A852" s="1" t="s">
        <v>2121</v>
      </c>
      <c r="B852" s="13">
        <v>45242</v>
      </c>
      <c r="C852" s="1" t="s">
        <v>1155</v>
      </c>
      <c r="D852" s="1" t="s">
        <v>41</v>
      </c>
      <c r="E852" s="1">
        <v>29</v>
      </c>
      <c r="F852" s="1" t="s">
        <v>893</v>
      </c>
    </row>
    <row r="853" spans="1:6" x14ac:dyDescent="0.3">
      <c r="A853" s="1" t="s">
        <v>2122</v>
      </c>
      <c r="B853" s="13">
        <v>45242</v>
      </c>
      <c r="C853" s="1" t="s">
        <v>1172</v>
      </c>
      <c r="D853" s="1" t="s">
        <v>43</v>
      </c>
      <c r="E853" s="1">
        <v>79</v>
      </c>
      <c r="F853" s="1" t="s">
        <v>894</v>
      </c>
    </row>
    <row r="854" spans="1:6" x14ac:dyDescent="0.3">
      <c r="A854" s="1" t="s">
        <v>2123</v>
      </c>
      <c r="B854" s="13">
        <v>45242</v>
      </c>
      <c r="C854" s="1" t="s">
        <v>1224</v>
      </c>
      <c r="D854" s="1" t="s">
        <v>43</v>
      </c>
      <c r="E854" s="1">
        <v>95</v>
      </c>
      <c r="F854" s="1" t="s">
        <v>895</v>
      </c>
    </row>
    <row r="855" spans="1:6" x14ac:dyDescent="0.3">
      <c r="A855" s="1" t="s">
        <v>2124</v>
      </c>
      <c r="B855" s="13">
        <v>45242</v>
      </c>
      <c r="C855" s="1" t="s">
        <v>1110</v>
      </c>
      <c r="D855" s="1" t="s">
        <v>41</v>
      </c>
      <c r="E855" s="1">
        <v>70</v>
      </c>
      <c r="F855" s="1" t="s">
        <v>896</v>
      </c>
    </row>
    <row r="856" spans="1:6" x14ac:dyDescent="0.3">
      <c r="A856" s="1" t="s">
        <v>2125</v>
      </c>
      <c r="B856" s="13">
        <v>45243</v>
      </c>
      <c r="C856" s="1" t="s">
        <v>1102</v>
      </c>
      <c r="D856" s="1" t="s">
        <v>43</v>
      </c>
      <c r="E856" s="1">
        <v>61</v>
      </c>
      <c r="F856" s="1" t="s">
        <v>897</v>
      </c>
    </row>
    <row r="857" spans="1:6" x14ac:dyDescent="0.3">
      <c r="A857" s="1" t="s">
        <v>2126</v>
      </c>
      <c r="B857" s="13">
        <v>45244</v>
      </c>
      <c r="C857" s="1" t="s">
        <v>1093</v>
      </c>
      <c r="D857" s="1" t="s">
        <v>43</v>
      </c>
      <c r="E857" s="1">
        <v>11</v>
      </c>
      <c r="F857" s="1" t="s">
        <v>898</v>
      </c>
    </row>
    <row r="858" spans="1:6" x14ac:dyDescent="0.3">
      <c r="A858" s="1" t="s">
        <v>2127</v>
      </c>
      <c r="B858" s="13">
        <v>45244</v>
      </c>
      <c r="C858" s="1" t="s">
        <v>1161</v>
      </c>
      <c r="D858" s="1" t="s">
        <v>41</v>
      </c>
      <c r="E858" s="1">
        <v>39</v>
      </c>
      <c r="F858" s="1" t="s">
        <v>899</v>
      </c>
    </row>
    <row r="859" spans="1:6" x14ac:dyDescent="0.3">
      <c r="A859" s="1" t="s">
        <v>2128</v>
      </c>
      <c r="B859" s="13">
        <v>45244</v>
      </c>
      <c r="C859" s="1" t="s">
        <v>1235</v>
      </c>
      <c r="D859" s="1" t="s">
        <v>43</v>
      </c>
      <c r="E859" s="1">
        <v>50</v>
      </c>
      <c r="F859" s="1" t="s">
        <v>900</v>
      </c>
    </row>
    <row r="860" spans="1:6" x14ac:dyDescent="0.3">
      <c r="A860" s="1" t="s">
        <v>2129</v>
      </c>
      <c r="B860" s="13">
        <v>45244</v>
      </c>
      <c r="C860" s="1" t="s">
        <v>1123</v>
      </c>
      <c r="D860" s="1" t="s">
        <v>43</v>
      </c>
      <c r="E860" s="1">
        <v>59</v>
      </c>
      <c r="F860" s="1" t="s">
        <v>901</v>
      </c>
    </row>
    <row r="861" spans="1:6" x14ac:dyDescent="0.3">
      <c r="A861" s="1" t="s">
        <v>2130</v>
      </c>
      <c r="B861" s="13">
        <v>45244</v>
      </c>
      <c r="C861" s="1" t="s">
        <v>1099</v>
      </c>
      <c r="D861" s="1" t="s">
        <v>41</v>
      </c>
      <c r="E861" s="1">
        <v>16</v>
      </c>
      <c r="F861" s="1" t="s">
        <v>902</v>
      </c>
    </row>
    <row r="862" spans="1:6" x14ac:dyDescent="0.3">
      <c r="A862" s="1" t="s">
        <v>2131</v>
      </c>
      <c r="B862" s="13">
        <v>45244</v>
      </c>
      <c r="C862" s="1" t="s">
        <v>1146</v>
      </c>
      <c r="D862" s="1" t="s">
        <v>41</v>
      </c>
      <c r="E862" s="1">
        <v>62</v>
      </c>
      <c r="F862" s="1" t="s">
        <v>903</v>
      </c>
    </row>
    <row r="863" spans="1:6" x14ac:dyDescent="0.3">
      <c r="A863" s="1" t="s">
        <v>2132</v>
      </c>
      <c r="B863" s="13">
        <v>45244</v>
      </c>
      <c r="C863" s="1" t="s">
        <v>1102</v>
      </c>
      <c r="D863" s="1" t="s">
        <v>43</v>
      </c>
      <c r="E863" s="1">
        <v>30</v>
      </c>
      <c r="F863" s="1" t="s">
        <v>904</v>
      </c>
    </row>
    <row r="864" spans="1:6" x14ac:dyDescent="0.3">
      <c r="A864" s="1" t="s">
        <v>2133</v>
      </c>
      <c r="B864" s="13">
        <v>45244</v>
      </c>
      <c r="C864" s="1" t="s">
        <v>1136</v>
      </c>
      <c r="D864" s="1" t="s">
        <v>43</v>
      </c>
      <c r="E864" s="1">
        <v>13</v>
      </c>
      <c r="F864" s="1" t="s">
        <v>905</v>
      </c>
    </row>
    <row r="865" spans="1:6" x14ac:dyDescent="0.3">
      <c r="A865" s="1" t="s">
        <v>2134</v>
      </c>
      <c r="B865" s="13">
        <v>45245</v>
      </c>
      <c r="C865" s="1" t="s">
        <v>1099</v>
      </c>
      <c r="D865" s="1" t="s">
        <v>43</v>
      </c>
      <c r="E865" s="1">
        <v>14</v>
      </c>
      <c r="F865" s="1" t="s">
        <v>906</v>
      </c>
    </row>
    <row r="866" spans="1:6" x14ac:dyDescent="0.3">
      <c r="A866" s="1" t="s">
        <v>2135</v>
      </c>
      <c r="B866" s="13">
        <v>45245</v>
      </c>
      <c r="C866" s="1" t="s">
        <v>1216</v>
      </c>
      <c r="D866" s="1" t="s">
        <v>43</v>
      </c>
      <c r="E866" s="1">
        <v>46</v>
      </c>
      <c r="F866" s="1" t="s">
        <v>907</v>
      </c>
    </row>
    <row r="867" spans="1:6" x14ac:dyDescent="0.3">
      <c r="A867" s="1" t="s">
        <v>2136</v>
      </c>
      <c r="B867" s="13">
        <v>45245</v>
      </c>
      <c r="C867" s="1" t="s">
        <v>1258</v>
      </c>
      <c r="D867" s="1" t="s">
        <v>41</v>
      </c>
      <c r="E867" s="1">
        <v>62</v>
      </c>
      <c r="F867" s="1" t="s">
        <v>908</v>
      </c>
    </row>
    <row r="868" spans="1:6" x14ac:dyDescent="0.3">
      <c r="A868" s="1" t="s">
        <v>2137</v>
      </c>
      <c r="B868" s="13">
        <v>45245</v>
      </c>
      <c r="C868" s="1" t="s">
        <v>1132</v>
      </c>
      <c r="D868" s="1" t="s">
        <v>41</v>
      </c>
      <c r="E868" s="1">
        <v>16</v>
      </c>
      <c r="F868" s="1" t="s">
        <v>909</v>
      </c>
    </row>
    <row r="869" spans="1:6" x14ac:dyDescent="0.3">
      <c r="A869" s="1" t="s">
        <v>2138</v>
      </c>
      <c r="B869" s="13">
        <v>45245</v>
      </c>
      <c r="C869" s="1" t="s">
        <v>1214</v>
      </c>
      <c r="D869" s="1" t="s">
        <v>41</v>
      </c>
      <c r="E869" s="1">
        <v>54</v>
      </c>
      <c r="F869" s="1" t="s">
        <v>910</v>
      </c>
    </row>
    <row r="870" spans="1:6" x14ac:dyDescent="0.3">
      <c r="A870" s="1" t="s">
        <v>2139</v>
      </c>
      <c r="B870" s="13">
        <v>45245</v>
      </c>
      <c r="C870" s="1" t="s">
        <v>1177</v>
      </c>
      <c r="D870" s="1" t="s">
        <v>41</v>
      </c>
      <c r="E870" s="1">
        <v>57</v>
      </c>
      <c r="F870" s="1" t="s">
        <v>911</v>
      </c>
    </row>
    <row r="871" spans="1:6" x14ac:dyDescent="0.3">
      <c r="A871" s="1" t="s">
        <v>2140</v>
      </c>
      <c r="B871" s="13">
        <v>45246</v>
      </c>
      <c r="C871" s="1" t="s">
        <v>1248</v>
      </c>
      <c r="D871" s="1" t="s">
        <v>41</v>
      </c>
      <c r="E871" s="1">
        <v>17</v>
      </c>
      <c r="F871" s="1" t="s">
        <v>912</v>
      </c>
    </row>
    <row r="872" spans="1:6" x14ac:dyDescent="0.3">
      <c r="A872" s="1" t="s">
        <v>2141</v>
      </c>
      <c r="B872" s="13">
        <v>45246</v>
      </c>
      <c r="C872" s="1" t="s">
        <v>1168</v>
      </c>
      <c r="D872" s="1" t="s">
        <v>41</v>
      </c>
      <c r="E872" s="1">
        <v>99</v>
      </c>
      <c r="F872" s="1" t="s">
        <v>913</v>
      </c>
    </row>
    <row r="873" spans="1:6" x14ac:dyDescent="0.3">
      <c r="A873" s="1" t="s">
        <v>2142</v>
      </c>
      <c r="B873" s="13">
        <v>45246</v>
      </c>
      <c r="C873" s="1" t="s">
        <v>1186</v>
      </c>
      <c r="D873" s="1" t="s">
        <v>43</v>
      </c>
      <c r="E873" s="1">
        <v>40</v>
      </c>
      <c r="F873" s="1" t="s">
        <v>914</v>
      </c>
    </row>
    <row r="874" spans="1:6" x14ac:dyDescent="0.3">
      <c r="A874" s="1" t="s">
        <v>2143</v>
      </c>
      <c r="B874" s="13">
        <v>45246</v>
      </c>
      <c r="C874" s="1" t="s">
        <v>1173</v>
      </c>
      <c r="D874" s="1" t="s">
        <v>43</v>
      </c>
      <c r="E874" s="1">
        <v>41</v>
      </c>
      <c r="F874" s="1" t="s">
        <v>915</v>
      </c>
    </row>
    <row r="875" spans="1:6" x14ac:dyDescent="0.3">
      <c r="A875" s="1" t="s">
        <v>2144</v>
      </c>
      <c r="B875" s="13">
        <v>45246</v>
      </c>
      <c r="C875" s="1" t="s">
        <v>1203</v>
      </c>
      <c r="D875" s="1" t="s">
        <v>41</v>
      </c>
      <c r="E875" s="1">
        <v>14</v>
      </c>
      <c r="F875" s="1" t="s">
        <v>916</v>
      </c>
    </row>
    <row r="876" spans="1:6" x14ac:dyDescent="0.3">
      <c r="A876" s="1" t="s">
        <v>2145</v>
      </c>
      <c r="B876" s="13">
        <v>45246</v>
      </c>
      <c r="C876" s="1" t="s">
        <v>1112</v>
      </c>
      <c r="D876" s="1" t="s">
        <v>43</v>
      </c>
      <c r="E876" s="1">
        <v>80</v>
      </c>
      <c r="F876" s="1" t="s">
        <v>917</v>
      </c>
    </row>
    <row r="877" spans="1:6" x14ac:dyDescent="0.3">
      <c r="A877" s="1" t="s">
        <v>2146</v>
      </c>
      <c r="B877" s="13">
        <v>45247</v>
      </c>
      <c r="C877" s="1" t="s">
        <v>1138</v>
      </c>
      <c r="D877" s="1" t="s">
        <v>41</v>
      </c>
      <c r="E877" s="1">
        <v>74</v>
      </c>
      <c r="F877" s="1" t="s">
        <v>918</v>
      </c>
    </row>
    <row r="878" spans="1:6" x14ac:dyDescent="0.3">
      <c r="A878" s="1" t="s">
        <v>2147</v>
      </c>
      <c r="B878" s="13">
        <v>45247</v>
      </c>
      <c r="C878" s="1" t="s">
        <v>1242</v>
      </c>
      <c r="D878" s="1" t="s">
        <v>41</v>
      </c>
      <c r="E878" s="1">
        <v>77</v>
      </c>
      <c r="F878" s="1" t="s">
        <v>919</v>
      </c>
    </row>
    <row r="879" spans="1:6" x14ac:dyDescent="0.3">
      <c r="A879" s="1" t="s">
        <v>2148</v>
      </c>
      <c r="B879" s="13">
        <v>45248</v>
      </c>
      <c r="C879" s="1" t="s">
        <v>1085</v>
      </c>
      <c r="D879" s="1" t="s">
        <v>41</v>
      </c>
      <c r="E879" s="1">
        <v>44</v>
      </c>
      <c r="F879" s="1" t="s">
        <v>920</v>
      </c>
    </row>
    <row r="880" spans="1:6" x14ac:dyDescent="0.3">
      <c r="A880" s="1" t="s">
        <v>2149</v>
      </c>
      <c r="B880" s="13">
        <v>45248</v>
      </c>
      <c r="C880" s="1" t="s">
        <v>1225</v>
      </c>
      <c r="D880" s="1" t="s">
        <v>41</v>
      </c>
      <c r="E880" s="1">
        <v>92</v>
      </c>
      <c r="F880" s="1" t="s">
        <v>921</v>
      </c>
    </row>
    <row r="881" spans="1:6" x14ac:dyDescent="0.3">
      <c r="A881" s="1" t="s">
        <v>2150</v>
      </c>
      <c r="B881" s="13">
        <v>45249</v>
      </c>
      <c r="C881" s="1" t="s">
        <v>1117</v>
      </c>
      <c r="D881" s="1" t="s">
        <v>41</v>
      </c>
      <c r="E881" s="1">
        <v>26</v>
      </c>
      <c r="F881" s="1" t="s">
        <v>922</v>
      </c>
    </row>
    <row r="882" spans="1:6" x14ac:dyDescent="0.3">
      <c r="A882" s="1" t="s">
        <v>2151</v>
      </c>
      <c r="B882" s="13">
        <v>45249</v>
      </c>
      <c r="C882" s="1" t="s">
        <v>1267</v>
      </c>
      <c r="D882" s="1" t="s">
        <v>41</v>
      </c>
      <c r="E882" s="1">
        <v>13</v>
      </c>
      <c r="F882" s="1" t="s">
        <v>923</v>
      </c>
    </row>
    <row r="883" spans="1:6" x14ac:dyDescent="0.3">
      <c r="A883" s="1" t="s">
        <v>2152</v>
      </c>
      <c r="B883" s="13">
        <v>45249</v>
      </c>
      <c r="C883" s="1" t="s">
        <v>1161</v>
      </c>
      <c r="D883" s="1" t="s">
        <v>43</v>
      </c>
      <c r="E883" s="1">
        <v>90</v>
      </c>
      <c r="F883" s="1" t="s">
        <v>924</v>
      </c>
    </row>
    <row r="884" spans="1:6" x14ac:dyDescent="0.3">
      <c r="A884" s="1" t="s">
        <v>2153</v>
      </c>
      <c r="B884" s="13">
        <v>45250</v>
      </c>
      <c r="C884" s="1" t="s">
        <v>1126</v>
      </c>
      <c r="D884" s="1" t="s">
        <v>41</v>
      </c>
      <c r="E884" s="1">
        <v>43</v>
      </c>
      <c r="F884" s="1" t="s">
        <v>925</v>
      </c>
    </row>
    <row r="885" spans="1:6" x14ac:dyDescent="0.3">
      <c r="A885" s="1" t="s">
        <v>2154</v>
      </c>
      <c r="B885" s="13">
        <v>45250</v>
      </c>
      <c r="C885" s="1" t="s">
        <v>1102</v>
      </c>
      <c r="D885" s="1" t="s">
        <v>43</v>
      </c>
      <c r="E885" s="1">
        <v>85</v>
      </c>
      <c r="F885" s="1" t="s">
        <v>926</v>
      </c>
    </row>
    <row r="886" spans="1:6" x14ac:dyDescent="0.3">
      <c r="A886" s="1" t="s">
        <v>2155</v>
      </c>
      <c r="B886" s="13">
        <v>45250</v>
      </c>
      <c r="C886" s="1" t="s">
        <v>1230</v>
      </c>
      <c r="D886" s="1" t="s">
        <v>43</v>
      </c>
      <c r="E886" s="1">
        <v>44</v>
      </c>
      <c r="F886" s="1" t="s">
        <v>927</v>
      </c>
    </row>
    <row r="887" spans="1:6" x14ac:dyDescent="0.3">
      <c r="A887" s="1" t="s">
        <v>2156</v>
      </c>
      <c r="B887" s="13">
        <v>45250</v>
      </c>
      <c r="C887" s="1" t="s">
        <v>1174</v>
      </c>
      <c r="D887" s="1" t="s">
        <v>43</v>
      </c>
      <c r="E887" s="1">
        <v>26</v>
      </c>
      <c r="F887" s="1" t="s">
        <v>928</v>
      </c>
    </row>
    <row r="888" spans="1:6" x14ac:dyDescent="0.3">
      <c r="A888" s="1" t="s">
        <v>2157</v>
      </c>
      <c r="B888" s="13">
        <v>45250</v>
      </c>
      <c r="C888" s="1" t="s">
        <v>1220</v>
      </c>
      <c r="D888" s="1" t="s">
        <v>43</v>
      </c>
      <c r="E888" s="1">
        <v>86</v>
      </c>
      <c r="F888" s="1" t="s">
        <v>929</v>
      </c>
    </row>
    <row r="889" spans="1:6" x14ac:dyDescent="0.3">
      <c r="A889" s="1" t="s">
        <v>2158</v>
      </c>
      <c r="B889" s="13">
        <v>45252</v>
      </c>
      <c r="C889" s="1" t="s">
        <v>1102</v>
      </c>
      <c r="D889" s="1" t="s">
        <v>43</v>
      </c>
      <c r="E889" s="1">
        <v>40</v>
      </c>
      <c r="F889" s="1" t="s">
        <v>930</v>
      </c>
    </row>
    <row r="890" spans="1:6" x14ac:dyDescent="0.3">
      <c r="A890" s="1" t="s">
        <v>2159</v>
      </c>
      <c r="B890" s="13">
        <v>45252</v>
      </c>
      <c r="C890" s="1" t="s">
        <v>1090</v>
      </c>
      <c r="D890" s="1" t="s">
        <v>43</v>
      </c>
      <c r="E890" s="1">
        <v>88</v>
      </c>
      <c r="F890" s="1" t="s">
        <v>931</v>
      </c>
    </row>
    <row r="891" spans="1:6" x14ac:dyDescent="0.3">
      <c r="A891" s="1" t="s">
        <v>2160</v>
      </c>
      <c r="B891" s="13">
        <v>45252</v>
      </c>
      <c r="C891" s="1" t="s">
        <v>1090</v>
      </c>
      <c r="D891" s="1" t="s">
        <v>41</v>
      </c>
      <c r="E891" s="1">
        <v>37</v>
      </c>
      <c r="F891" s="1" t="s">
        <v>932</v>
      </c>
    </row>
    <row r="892" spans="1:6" x14ac:dyDescent="0.3">
      <c r="A892" s="1" t="s">
        <v>2161</v>
      </c>
      <c r="B892" s="13">
        <v>45253</v>
      </c>
      <c r="C892" s="1" t="s">
        <v>1176</v>
      </c>
      <c r="D892" s="1" t="s">
        <v>43</v>
      </c>
      <c r="E892" s="1">
        <v>21</v>
      </c>
      <c r="F892" s="1" t="s">
        <v>933</v>
      </c>
    </row>
    <row r="893" spans="1:6" x14ac:dyDescent="0.3">
      <c r="A893" s="1" t="s">
        <v>2162</v>
      </c>
      <c r="B893" s="13">
        <v>45254</v>
      </c>
      <c r="C893" s="1" t="s">
        <v>1091</v>
      </c>
      <c r="D893" s="1" t="s">
        <v>41</v>
      </c>
      <c r="E893" s="1">
        <v>70</v>
      </c>
      <c r="F893" s="1" t="s">
        <v>934</v>
      </c>
    </row>
    <row r="894" spans="1:6" x14ac:dyDescent="0.3">
      <c r="A894" s="1" t="s">
        <v>2163</v>
      </c>
      <c r="B894" s="13">
        <v>45254</v>
      </c>
      <c r="C894" s="1" t="s">
        <v>1181</v>
      </c>
      <c r="D894" s="1" t="s">
        <v>41</v>
      </c>
      <c r="E894" s="1">
        <v>65</v>
      </c>
      <c r="F894" s="1" t="s">
        <v>935</v>
      </c>
    </row>
    <row r="895" spans="1:6" x14ac:dyDescent="0.3">
      <c r="A895" s="1" t="s">
        <v>2164</v>
      </c>
      <c r="B895" s="13">
        <v>45254</v>
      </c>
      <c r="C895" s="1" t="s">
        <v>1254</v>
      </c>
      <c r="D895" s="1" t="s">
        <v>41</v>
      </c>
      <c r="E895" s="1">
        <v>89</v>
      </c>
      <c r="F895" s="1" t="s">
        <v>936</v>
      </c>
    </row>
    <row r="896" spans="1:6" x14ac:dyDescent="0.3">
      <c r="A896" s="1" t="s">
        <v>2165</v>
      </c>
      <c r="B896" s="13">
        <v>45254</v>
      </c>
      <c r="C896" s="1" t="s">
        <v>1246</v>
      </c>
      <c r="D896" s="1" t="s">
        <v>41</v>
      </c>
      <c r="E896" s="1">
        <v>47</v>
      </c>
      <c r="F896" s="1" t="s">
        <v>937</v>
      </c>
    </row>
    <row r="897" spans="1:6" x14ac:dyDescent="0.3">
      <c r="A897" s="1" t="s">
        <v>2166</v>
      </c>
      <c r="B897" s="13">
        <v>45254</v>
      </c>
      <c r="C897" s="1" t="s">
        <v>1191</v>
      </c>
      <c r="D897" s="1" t="s">
        <v>41</v>
      </c>
      <c r="E897" s="1">
        <v>70</v>
      </c>
      <c r="F897" s="1" t="s">
        <v>938</v>
      </c>
    </row>
    <row r="898" spans="1:6" x14ac:dyDescent="0.3">
      <c r="A898" s="1" t="s">
        <v>2167</v>
      </c>
      <c r="B898" s="13">
        <v>45254</v>
      </c>
      <c r="C898" s="1" t="s">
        <v>1195</v>
      </c>
      <c r="D898" s="1" t="s">
        <v>41</v>
      </c>
      <c r="E898" s="1">
        <v>14</v>
      </c>
      <c r="F898" s="1" t="s">
        <v>939</v>
      </c>
    </row>
    <row r="899" spans="1:6" x14ac:dyDescent="0.3">
      <c r="A899" s="1" t="s">
        <v>2168</v>
      </c>
      <c r="B899" s="13">
        <v>45254</v>
      </c>
      <c r="C899" s="1" t="s">
        <v>1260</v>
      </c>
      <c r="D899" s="1" t="s">
        <v>41</v>
      </c>
      <c r="E899" s="1">
        <v>53</v>
      </c>
      <c r="F899" s="1" t="s">
        <v>940</v>
      </c>
    </row>
    <row r="900" spans="1:6" x14ac:dyDescent="0.3">
      <c r="A900" s="1" t="s">
        <v>2169</v>
      </c>
      <c r="B900" s="13">
        <v>45255</v>
      </c>
      <c r="C900" s="1" t="s">
        <v>1218</v>
      </c>
      <c r="D900" s="1" t="s">
        <v>43</v>
      </c>
      <c r="E900" s="1">
        <v>65</v>
      </c>
      <c r="F900" s="1" t="s">
        <v>941</v>
      </c>
    </row>
    <row r="901" spans="1:6" x14ac:dyDescent="0.3">
      <c r="A901" s="1" t="s">
        <v>2170</v>
      </c>
      <c r="B901" s="13">
        <v>45255</v>
      </c>
      <c r="C901" s="1" t="s">
        <v>1117</v>
      </c>
      <c r="D901" s="1" t="s">
        <v>43</v>
      </c>
      <c r="E901" s="1">
        <v>98</v>
      </c>
      <c r="F901" s="1" t="s">
        <v>942</v>
      </c>
    </row>
    <row r="902" spans="1:6" x14ac:dyDescent="0.3">
      <c r="A902" s="1" t="s">
        <v>2171</v>
      </c>
      <c r="B902" s="13">
        <v>45256</v>
      </c>
      <c r="C902" s="1" t="s">
        <v>1109</v>
      </c>
      <c r="D902" s="1" t="s">
        <v>41</v>
      </c>
      <c r="E902" s="1">
        <v>83</v>
      </c>
      <c r="F902" s="1" t="s">
        <v>943</v>
      </c>
    </row>
    <row r="903" spans="1:6" x14ac:dyDescent="0.3">
      <c r="A903" s="1" t="s">
        <v>2172</v>
      </c>
      <c r="B903" s="13">
        <v>45256</v>
      </c>
      <c r="C903" s="1" t="s">
        <v>1263</v>
      </c>
      <c r="D903" s="1" t="s">
        <v>41</v>
      </c>
      <c r="E903" s="1">
        <v>89</v>
      </c>
      <c r="F903" s="1" t="s">
        <v>944</v>
      </c>
    </row>
    <row r="904" spans="1:6" x14ac:dyDescent="0.3">
      <c r="A904" s="1" t="s">
        <v>2173</v>
      </c>
      <c r="B904" s="13">
        <v>45256</v>
      </c>
      <c r="C904" s="1" t="s">
        <v>1219</v>
      </c>
      <c r="D904" s="1" t="s">
        <v>43</v>
      </c>
      <c r="E904" s="1">
        <v>23</v>
      </c>
      <c r="F904" s="1" t="s">
        <v>945</v>
      </c>
    </row>
    <row r="905" spans="1:6" x14ac:dyDescent="0.3">
      <c r="A905" s="1" t="s">
        <v>2174</v>
      </c>
      <c r="B905" s="13">
        <v>45256</v>
      </c>
      <c r="C905" s="1" t="s">
        <v>1233</v>
      </c>
      <c r="D905" s="1" t="s">
        <v>43</v>
      </c>
      <c r="E905" s="1">
        <v>39</v>
      </c>
      <c r="F905" s="1" t="s">
        <v>946</v>
      </c>
    </row>
    <row r="906" spans="1:6" x14ac:dyDescent="0.3">
      <c r="A906" s="1" t="s">
        <v>2175</v>
      </c>
      <c r="B906" s="13">
        <v>45256</v>
      </c>
      <c r="C906" s="1" t="s">
        <v>1129</v>
      </c>
      <c r="D906" s="1" t="s">
        <v>43</v>
      </c>
      <c r="E906" s="1">
        <v>22</v>
      </c>
      <c r="F906" s="1" t="s">
        <v>947</v>
      </c>
    </row>
    <row r="907" spans="1:6" x14ac:dyDescent="0.3">
      <c r="A907" s="1" t="s">
        <v>2176</v>
      </c>
      <c r="B907" s="13">
        <v>45257</v>
      </c>
      <c r="C907" s="1" t="s">
        <v>1099</v>
      </c>
      <c r="D907" s="1" t="s">
        <v>43</v>
      </c>
      <c r="E907" s="1">
        <v>79</v>
      </c>
      <c r="F907" s="1" t="s">
        <v>948</v>
      </c>
    </row>
    <row r="908" spans="1:6" x14ac:dyDescent="0.3">
      <c r="A908" s="1" t="s">
        <v>2177</v>
      </c>
      <c r="B908" s="13">
        <v>45258</v>
      </c>
      <c r="C908" s="1" t="s">
        <v>1195</v>
      </c>
      <c r="D908" s="1" t="s">
        <v>41</v>
      </c>
      <c r="E908" s="1">
        <v>49</v>
      </c>
      <c r="F908" s="1" t="s">
        <v>949</v>
      </c>
    </row>
    <row r="909" spans="1:6" x14ac:dyDescent="0.3">
      <c r="A909" s="1" t="s">
        <v>2178</v>
      </c>
      <c r="B909" s="13">
        <v>45258</v>
      </c>
      <c r="C909" s="1" t="s">
        <v>1136</v>
      </c>
      <c r="D909" s="1" t="s">
        <v>43</v>
      </c>
      <c r="E909" s="1">
        <v>35</v>
      </c>
      <c r="F909" s="1" t="s">
        <v>950</v>
      </c>
    </row>
    <row r="910" spans="1:6" x14ac:dyDescent="0.3">
      <c r="A910" s="1" t="s">
        <v>2179</v>
      </c>
      <c r="B910" s="13">
        <v>45258</v>
      </c>
      <c r="C910" s="1" t="s">
        <v>1224</v>
      </c>
      <c r="D910" s="1" t="s">
        <v>41</v>
      </c>
      <c r="E910" s="1">
        <v>27</v>
      </c>
      <c r="F910" s="1" t="s">
        <v>951</v>
      </c>
    </row>
    <row r="911" spans="1:6" x14ac:dyDescent="0.3">
      <c r="A911" s="1" t="s">
        <v>2180</v>
      </c>
      <c r="B911" s="13">
        <v>45259</v>
      </c>
      <c r="C911" s="1" t="s">
        <v>1191</v>
      </c>
      <c r="D911" s="1" t="s">
        <v>41</v>
      </c>
      <c r="E911" s="1">
        <v>63</v>
      </c>
      <c r="F911" s="1" t="s">
        <v>952</v>
      </c>
    </row>
    <row r="912" spans="1:6" x14ac:dyDescent="0.3">
      <c r="A912" s="1" t="s">
        <v>2181</v>
      </c>
      <c r="B912" s="13">
        <v>45259</v>
      </c>
      <c r="C912" s="1" t="s">
        <v>1267</v>
      </c>
      <c r="D912" s="1" t="s">
        <v>43</v>
      </c>
      <c r="E912" s="1">
        <v>77</v>
      </c>
      <c r="F912" s="1" t="s">
        <v>953</v>
      </c>
    </row>
    <row r="913" spans="1:6" x14ac:dyDescent="0.3">
      <c r="A913" s="1" t="s">
        <v>2182</v>
      </c>
      <c r="B913" s="13">
        <v>45260</v>
      </c>
      <c r="C913" s="1" t="s">
        <v>1252</v>
      </c>
      <c r="D913" s="1" t="s">
        <v>41</v>
      </c>
      <c r="E913" s="1">
        <v>14</v>
      </c>
      <c r="F913" s="1" t="s">
        <v>954</v>
      </c>
    </row>
    <row r="914" spans="1:6" x14ac:dyDescent="0.3">
      <c r="A914" s="1" t="s">
        <v>2183</v>
      </c>
      <c r="B914" s="13">
        <v>45261</v>
      </c>
      <c r="C914" s="1" t="s">
        <v>1267</v>
      </c>
      <c r="D914" s="1" t="s">
        <v>43</v>
      </c>
      <c r="E914" s="1">
        <v>63</v>
      </c>
      <c r="F914" s="1" t="s">
        <v>955</v>
      </c>
    </row>
    <row r="915" spans="1:6" x14ac:dyDescent="0.3">
      <c r="A915" s="1" t="s">
        <v>2184</v>
      </c>
      <c r="B915" s="13">
        <v>45261</v>
      </c>
      <c r="C915" s="1" t="s">
        <v>1186</v>
      </c>
      <c r="D915" s="1" t="s">
        <v>41</v>
      </c>
      <c r="E915" s="1">
        <v>85</v>
      </c>
      <c r="F915" s="1" t="s">
        <v>956</v>
      </c>
    </row>
    <row r="916" spans="1:6" x14ac:dyDescent="0.3">
      <c r="A916" s="1" t="s">
        <v>2185</v>
      </c>
      <c r="B916" s="13">
        <v>45261</v>
      </c>
      <c r="C916" s="1" t="s">
        <v>1112</v>
      </c>
      <c r="D916" s="1" t="s">
        <v>43</v>
      </c>
      <c r="E916" s="1">
        <v>59</v>
      </c>
      <c r="F916" s="1" t="s">
        <v>957</v>
      </c>
    </row>
    <row r="917" spans="1:6" x14ac:dyDescent="0.3">
      <c r="A917" s="1" t="s">
        <v>2186</v>
      </c>
      <c r="B917" s="13">
        <v>45261</v>
      </c>
      <c r="C917" s="1" t="s">
        <v>1097</v>
      </c>
      <c r="D917" s="1" t="s">
        <v>41</v>
      </c>
      <c r="E917" s="1">
        <v>79</v>
      </c>
      <c r="F917" s="1" t="s">
        <v>958</v>
      </c>
    </row>
    <row r="918" spans="1:6" x14ac:dyDescent="0.3">
      <c r="A918" s="1" t="s">
        <v>2187</v>
      </c>
      <c r="B918" s="13">
        <v>45262</v>
      </c>
      <c r="C918" s="1" t="s">
        <v>1222</v>
      </c>
      <c r="D918" s="1" t="s">
        <v>43</v>
      </c>
      <c r="E918" s="1">
        <v>80</v>
      </c>
      <c r="F918" s="1" t="s">
        <v>959</v>
      </c>
    </row>
    <row r="919" spans="1:6" x14ac:dyDescent="0.3">
      <c r="A919" s="1" t="s">
        <v>2188</v>
      </c>
      <c r="B919" s="13">
        <v>45263</v>
      </c>
      <c r="C919" s="1" t="s">
        <v>1091</v>
      </c>
      <c r="D919" s="1" t="s">
        <v>43</v>
      </c>
      <c r="E919" s="1">
        <v>100</v>
      </c>
      <c r="F919" s="1" t="s">
        <v>960</v>
      </c>
    </row>
    <row r="920" spans="1:6" x14ac:dyDescent="0.3">
      <c r="A920" s="1" t="s">
        <v>2189</v>
      </c>
      <c r="B920" s="13">
        <v>45263</v>
      </c>
      <c r="C920" s="1" t="s">
        <v>1170</v>
      </c>
      <c r="D920" s="1" t="s">
        <v>43</v>
      </c>
      <c r="E920" s="1">
        <v>90</v>
      </c>
      <c r="F920" s="1" t="s">
        <v>961</v>
      </c>
    </row>
    <row r="921" spans="1:6" x14ac:dyDescent="0.3">
      <c r="A921" s="1" t="s">
        <v>2190</v>
      </c>
      <c r="B921" s="13">
        <v>45263</v>
      </c>
      <c r="C921" s="1" t="s">
        <v>1164</v>
      </c>
      <c r="D921" s="1" t="s">
        <v>43</v>
      </c>
      <c r="E921" s="1">
        <v>85</v>
      </c>
      <c r="F921" s="1" t="s">
        <v>962</v>
      </c>
    </row>
    <row r="922" spans="1:6" x14ac:dyDescent="0.3">
      <c r="A922" s="1" t="s">
        <v>2191</v>
      </c>
      <c r="B922" s="13">
        <v>45264</v>
      </c>
      <c r="C922" s="1" t="s">
        <v>1236</v>
      </c>
      <c r="D922" s="1" t="s">
        <v>43</v>
      </c>
      <c r="E922" s="1">
        <v>63</v>
      </c>
      <c r="F922" s="1" t="s">
        <v>963</v>
      </c>
    </row>
    <row r="923" spans="1:6" x14ac:dyDescent="0.3">
      <c r="A923" s="1" t="s">
        <v>2192</v>
      </c>
      <c r="B923" s="13">
        <v>45264</v>
      </c>
      <c r="C923" s="1" t="s">
        <v>1264</v>
      </c>
      <c r="D923" s="1" t="s">
        <v>43</v>
      </c>
      <c r="E923" s="1">
        <v>97</v>
      </c>
      <c r="F923" s="1" t="s">
        <v>964</v>
      </c>
    </row>
    <row r="924" spans="1:6" x14ac:dyDescent="0.3">
      <c r="A924" s="1" t="s">
        <v>2193</v>
      </c>
      <c r="B924" s="13">
        <v>45265</v>
      </c>
      <c r="C924" s="1" t="s">
        <v>1089</v>
      </c>
      <c r="D924" s="1" t="s">
        <v>43</v>
      </c>
      <c r="E924" s="1">
        <v>56</v>
      </c>
      <c r="F924" s="1" t="s">
        <v>965</v>
      </c>
    </row>
    <row r="925" spans="1:6" x14ac:dyDescent="0.3">
      <c r="A925" s="1" t="s">
        <v>2194</v>
      </c>
      <c r="B925" s="13">
        <v>45265</v>
      </c>
      <c r="C925" s="1" t="s">
        <v>1130</v>
      </c>
      <c r="D925" s="1" t="s">
        <v>41</v>
      </c>
      <c r="E925" s="1">
        <v>19</v>
      </c>
      <c r="F925" s="1" t="s">
        <v>966</v>
      </c>
    </row>
    <row r="926" spans="1:6" x14ac:dyDescent="0.3">
      <c r="A926" s="1" t="s">
        <v>2195</v>
      </c>
      <c r="B926" s="13">
        <v>45266</v>
      </c>
      <c r="C926" s="1" t="s">
        <v>1083</v>
      </c>
      <c r="D926" s="1" t="s">
        <v>41</v>
      </c>
      <c r="E926" s="1">
        <v>15</v>
      </c>
      <c r="F926" s="1" t="s">
        <v>967</v>
      </c>
    </row>
    <row r="927" spans="1:6" x14ac:dyDescent="0.3">
      <c r="A927" s="1" t="s">
        <v>2196</v>
      </c>
      <c r="B927" s="13">
        <v>45266</v>
      </c>
      <c r="C927" s="1" t="s">
        <v>1242</v>
      </c>
      <c r="D927" s="1" t="s">
        <v>41</v>
      </c>
      <c r="E927" s="1">
        <v>18</v>
      </c>
      <c r="F927" s="1" t="s">
        <v>968</v>
      </c>
    </row>
    <row r="928" spans="1:6" x14ac:dyDescent="0.3">
      <c r="A928" s="1" t="s">
        <v>2197</v>
      </c>
      <c r="B928" s="13">
        <v>45267</v>
      </c>
      <c r="C928" s="1" t="s">
        <v>1254</v>
      </c>
      <c r="D928" s="1" t="s">
        <v>41</v>
      </c>
      <c r="E928" s="1">
        <v>88</v>
      </c>
      <c r="F928" s="1" t="s">
        <v>969</v>
      </c>
    </row>
    <row r="929" spans="1:6" x14ac:dyDescent="0.3">
      <c r="A929" s="1" t="s">
        <v>2198</v>
      </c>
      <c r="B929" s="13">
        <v>45268</v>
      </c>
      <c r="C929" s="1" t="s">
        <v>1260</v>
      </c>
      <c r="D929" s="1" t="s">
        <v>41</v>
      </c>
      <c r="E929" s="1">
        <v>44</v>
      </c>
      <c r="F929" s="1" t="s">
        <v>970</v>
      </c>
    </row>
    <row r="930" spans="1:6" x14ac:dyDescent="0.3">
      <c r="A930" s="1" t="s">
        <v>2199</v>
      </c>
      <c r="B930" s="13">
        <v>45268</v>
      </c>
      <c r="C930" s="1" t="s">
        <v>1265</v>
      </c>
      <c r="D930" s="1" t="s">
        <v>43</v>
      </c>
      <c r="E930" s="1">
        <v>80</v>
      </c>
      <c r="F930" s="1" t="s">
        <v>971</v>
      </c>
    </row>
    <row r="931" spans="1:6" x14ac:dyDescent="0.3">
      <c r="A931" s="1" t="s">
        <v>2200</v>
      </c>
      <c r="B931" s="13">
        <v>45268</v>
      </c>
      <c r="C931" s="1" t="s">
        <v>1181</v>
      </c>
      <c r="D931" s="1" t="s">
        <v>43</v>
      </c>
      <c r="E931" s="1">
        <v>58</v>
      </c>
      <c r="F931" s="1" t="s">
        <v>972</v>
      </c>
    </row>
    <row r="932" spans="1:6" x14ac:dyDescent="0.3">
      <c r="A932" s="1" t="s">
        <v>2201</v>
      </c>
      <c r="B932" s="13">
        <v>45270</v>
      </c>
      <c r="C932" s="1" t="s">
        <v>1216</v>
      </c>
      <c r="D932" s="1" t="s">
        <v>41</v>
      </c>
      <c r="E932" s="1">
        <v>57</v>
      </c>
      <c r="F932" s="1" t="s">
        <v>973</v>
      </c>
    </row>
    <row r="933" spans="1:6" x14ac:dyDescent="0.3">
      <c r="A933" s="1" t="s">
        <v>2202</v>
      </c>
      <c r="B933" s="13">
        <v>45270</v>
      </c>
      <c r="C933" s="1" t="s">
        <v>1235</v>
      </c>
      <c r="D933" s="1" t="s">
        <v>41</v>
      </c>
      <c r="E933" s="1">
        <v>30</v>
      </c>
      <c r="F933" s="1" t="s">
        <v>974</v>
      </c>
    </row>
    <row r="934" spans="1:6" x14ac:dyDescent="0.3">
      <c r="A934" s="1" t="s">
        <v>2203</v>
      </c>
      <c r="B934" s="13">
        <v>45270</v>
      </c>
      <c r="C934" s="1" t="s">
        <v>1138</v>
      </c>
      <c r="D934" s="1" t="s">
        <v>43</v>
      </c>
      <c r="E934" s="1">
        <v>74</v>
      </c>
      <c r="F934" s="1" t="s">
        <v>975</v>
      </c>
    </row>
    <row r="935" spans="1:6" x14ac:dyDescent="0.3">
      <c r="A935" s="1" t="s">
        <v>2204</v>
      </c>
      <c r="B935" s="13">
        <v>45270</v>
      </c>
      <c r="C935" s="1" t="s">
        <v>1174</v>
      </c>
      <c r="D935" s="1" t="s">
        <v>43</v>
      </c>
      <c r="E935" s="1">
        <v>80</v>
      </c>
      <c r="F935" s="1" t="s">
        <v>976</v>
      </c>
    </row>
    <row r="936" spans="1:6" x14ac:dyDescent="0.3">
      <c r="A936" s="1" t="s">
        <v>2205</v>
      </c>
      <c r="B936" s="13">
        <v>45270</v>
      </c>
      <c r="C936" s="1" t="s">
        <v>1227</v>
      </c>
      <c r="D936" s="1" t="s">
        <v>43</v>
      </c>
      <c r="E936" s="1">
        <v>31</v>
      </c>
      <c r="F936" s="1" t="s">
        <v>977</v>
      </c>
    </row>
    <row r="937" spans="1:6" x14ac:dyDescent="0.3">
      <c r="A937" s="1" t="s">
        <v>2206</v>
      </c>
      <c r="B937" s="13">
        <v>45271</v>
      </c>
      <c r="C937" s="1" t="s">
        <v>1238</v>
      </c>
      <c r="D937" s="1" t="s">
        <v>43</v>
      </c>
      <c r="E937" s="1">
        <v>31</v>
      </c>
      <c r="F937" s="1" t="s">
        <v>978</v>
      </c>
    </row>
    <row r="938" spans="1:6" x14ac:dyDescent="0.3">
      <c r="A938" s="1" t="s">
        <v>2207</v>
      </c>
      <c r="B938" s="13">
        <v>45272</v>
      </c>
      <c r="C938" s="1" t="s">
        <v>1234</v>
      </c>
      <c r="D938" s="1" t="s">
        <v>43</v>
      </c>
      <c r="E938" s="1">
        <v>75</v>
      </c>
      <c r="F938" s="1" t="s">
        <v>979</v>
      </c>
    </row>
    <row r="939" spans="1:6" x14ac:dyDescent="0.3">
      <c r="A939" s="1" t="s">
        <v>2208</v>
      </c>
      <c r="B939" s="13">
        <v>45272</v>
      </c>
      <c r="C939" s="1" t="s">
        <v>1161</v>
      </c>
      <c r="D939" s="1" t="s">
        <v>43</v>
      </c>
      <c r="E939" s="1">
        <v>65</v>
      </c>
      <c r="F939" s="1" t="s">
        <v>980</v>
      </c>
    </row>
    <row r="940" spans="1:6" x14ac:dyDescent="0.3">
      <c r="A940" s="1" t="s">
        <v>2209</v>
      </c>
      <c r="B940" s="13">
        <v>45273</v>
      </c>
      <c r="C940" s="1" t="s">
        <v>1153</v>
      </c>
      <c r="D940" s="1" t="s">
        <v>41</v>
      </c>
      <c r="E940" s="1">
        <v>33</v>
      </c>
      <c r="F940" s="1" t="s">
        <v>981</v>
      </c>
    </row>
    <row r="941" spans="1:6" x14ac:dyDescent="0.3">
      <c r="A941" s="1" t="s">
        <v>2210</v>
      </c>
      <c r="B941" s="13">
        <v>45273</v>
      </c>
      <c r="C941" s="1" t="s">
        <v>1123</v>
      </c>
      <c r="D941" s="1" t="s">
        <v>43</v>
      </c>
      <c r="E941" s="1">
        <v>80</v>
      </c>
      <c r="F941" s="1" t="s">
        <v>982</v>
      </c>
    </row>
    <row r="942" spans="1:6" x14ac:dyDescent="0.3">
      <c r="A942" s="1" t="s">
        <v>2211</v>
      </c>
      <c r="B942" s="13">
        <v>45274</v>
      </c>
      <c r="C942" s="1" t="s">
        <v>1252</v>
      </c>
      <c r="D942" s="1" t="s">
        <v>41</v>
      </c>
      <c r="E942" s="1">
        <v>92</v>
      </c>
      <c r="F942" s="1" t="s">
        <v>983</v>
      </c>
    </row>
    <row r="943" spans="1:6" x14ac:dyDescent="0.3">
      <c r="A943" s="1" t="s">
        <v>2212</v>
      </c>
      <c r="B943" s="13">
        <v>45275</v>
      </c>
      <c r="C943" s="1" t="s">
        <v>1106</v>
      </c>
      <c r="D943" s="1" t="s">
        <v>43</v>
      </c>
      <c r="E943" s="1">
        <v>71</v>
      </c>
      <c r="F943" s="1" t="s">
        <v>984</v>
      </c>
    </row>
    <row r="944" spans="1:6" x14ac:dyDescent="0.3">
      <c r="A944" s="1" t="s">
        <v>2213</v>
      </c>
      <c r="B944" s="13">
        <v>45275</v>
      </c>
      <c r="C944" s="1" t="s">
        <v>1126</v>
      </c>
      <c r="D944" s="1" t="s">
        <v>41</v>
      </c>
      <c r="E944" s="1">
        <v>52</v>
      </c>
      <c r="F944" s="1" t="s">
        <v>985</v>
      </c>
    </row>
    <row r="945" spans="1:6" x14ac:dyDescent="0.3">
      <c r="A945" s="1" t="s">
        <v>2214</v>
      </c>
      <c r="B945" s="13">
        <v>45275</v>
      </c>
      <c r="C945" s="1" t="s">
        <v>1173</v>
      </c>
      <c r="D945" s="1" t="s">
        <v>41</v>
      </c>
      <c r="E945" s="1">
        <v>40</v>
      </c>
      <c r="F945" s="1" t="s">
        <v>986</v>
      </c>
    </row>
    <row r="946" spans="1:6" x14ac:dyDescent="0.3">
      <c r="A946" s="1" t="s">
        <v>2215</v>
      </c>
      <c r="B946" s="13">
        <v>45275</v>
      </c>
      <c r="C946" s="1" t="s">
        <v>1159</v>
      </c>
      <c r="D946" s="1" t="s">
        <v>41</v>
      </c>
      <c r="E946" s="1">
        <v>60</v>
      </c>
      <c r="F946" s="1" t="s">
        <v>987</v>
      </c>
    </row>
    <row r="947" spans="1:6" x14ac:dyDescent="0.3">
      <c r="A947" s="1" t="s">
        <v>2216</v>
      </c>
      <c r="B947" s="13">
        <v>45275</v>
      </c>
      <c r="C947" s="1" t="s">
        <v>1153</v>
      </c>
      <c r="D947" s="1" t="s">
        <v>43</v>
      </c>
      <c r="E947" s="1">
        <v>71</v>
      </c>
      <c r="F947" s="1" t="s">
        <v>988</v>
      </c>
    </row>
    <row r="948" spans="1:6" x14ac:dyDescent="0.3">
      <c r="A948" s="1" t="s">
        <v>2217</v>
      </c>
      <c r="B948" s="13">
        <v>45275</v>
      </c>
      <c r="C948" s="1" t="s">
        <v>1252</v>
      </c>
      <c r="D948" s="1" t="s">
        <v>43</v>
      </c>
      <c r="E948" s="1">
        <v>44</v>
      </c>
      <c r="F948" s="1" t="s">
        <v>989</v>
      </c>
    </row>
    <row r="949" spans="1:6" x14ac:dyDescent="0.3">
      <c r="A949" s="1" t="s">
        <v>2218</v>
      </c>
      <c r="B949" s="13">
        <v>45276</v>
      </c>
      <c r="C949" s="1" t="s">
        <v>1150</v>
      </c>
      <c r="D949" s="1" t="s">
        <v>41</v>
      </c>
      <c r="E949" s="1">
        <v>19</v>
      </c>
      <c r="F949" s="1" t="s">
        <v>990</v>
      </c>
    </row>
    <row r="950" spans="1:6" x14ac:dyDescent="0.3">
      <c r="A950" s="1" t="s">
        <v>2219</v>
      </c>
      <c r="B950" s="13">
        <v>45276</v>
      </c>
      <c r="C950" s="1" t="s">
        <v>1172</v>
      </c>
      <c r="D950" s="1" t="s">
        <v>41</v>
      </c>
      <c r="E950" s="1">
        <v>11</v>
      </c>
      <c r="F950" s="1" t="s">
        <v>991</v>
      </c>
    </row>
    <row r="951" spans="1:6" x14ac:dyDescent="0.3">
      <c r="A951" s="1" t="s">
        <v>2220</v>
      </c>
      <c r="B951" s="13">
        <v>45276</v>
      </c>
      <c r="C951" s="1" t="s">
        <v>1212</v>
      </c>
      <c r="D951" s="1" t="s">
        <v>41</v>
      </c>
      <c r="E951" s="1">
        <v>22</v>
      </c>
      <c r="F951" s="1" t="s">
        <v>992</v>
      </c>
    </row>
    <row r="952" spans="1:6" x14ac:dyDescent="0.3">
      <c r="A952" s="1" t="s">
        <v>2221</v>
      </c>
      <c r="B952" s="13">
        <v>45278</v>
      </c>
      <c r="C952" s="1" t="s">
        <v>1263</v>
      </c>
      <c r="D952" s="1" t="s">
        <v>43</v>
      </c>
      <c r="E952" s="1">
        <v>15</v>
      </c>
      <c r="F952" s="1" t="s">
        <v>993</v>
      </c>
    </row>
    <row r="953" spans="1:6" x14ac:dyDescent="0.3">
      <c r="A953" s="1" t="s">
        <v>2222</v>
      </c>
      <c r="B953" s="13">
        <v>45278</v>
      </c>
      <c r="C953" s="1" t="s">
        <v>1202</v>
      </c>
      <c r="D953" s="1" t="s">
        <v>43</v>
      </c>
      <c r="E953" s="1">
        <v>52</v>
      </c>
      <c r="F953" s="1" t="s">
        <v>994</v>
      </c>
    </row>
    <row r="954" spans="1:6" x14ac:dyDescent="0.3">
      <c r="A954" s="1" t="s">
        <v>2223</v>
      </c>
      <c r="B954" s="13">
        <v>45279</v>
      </c>
      <c r="C954" s="1" t="s">
        <v>1212</v>
      </c>
      <c r="D954" s="1" t="s">
        <v>41</v>
      </c>
      <c r="E954" s="1">
        <v>100</v>
      </c>
      <c r="F954" s="1" t="s">
        <v>995</v>
      </c>
    </row>
    <row r="955" spans="1:6" x14ac:dyDescent="0.3">
      <c r="A955" s="1" t="s">
        <v>2224</v>
      </c>
      <c r="B955" s="13">
        <v>45279</v>
      </c>
      <c r="C955" s="1" t="s">
        <v>1237</v>
      </c>
      <c r="D955" s="1" t="s">
        <v>43</v>
      </c>
      <c r="E955" s="1">
        <v>18</v>
      </c>
      <c r="F955" s="1" t="s">
        <v>996</v>
      </c>
    </row>
    <row r="956" spans="1:6" x14ac:dyDescent="0.3">
      <c r="A956" s="1" t="s">
        <v>2225</v>
      </c>
      <c r="B956" s="13">
        <v>45279</v>
      </c>
      <c r="C956" s="1" t="s">
        <v>1099</v>
      </c>
      <c r="D956" s="1" t="s">
        <v>41</v>
      </c>
      <c r="E956" s="1">
        <v>39</v>
      </c>
      <c r="F956" s="1" t="s">
        <v>997</v>
      </c>
    </row>
    <row r="957" spans="1:6" x14ac:dyDescent="0.3">
      <c r="A957" s="1" t="s">
        <v>2226</v>
      </c>
      <c r="B957" s="13">
        <v>45279</v>
      </c>
      <c r="C957" s="1" t="s">
        <v>1134</v>
      </c>
      <c r="D957" s="1" t="s">
        <v>43</v>
      </c>
      <c r="E957" s="1">
        <v>46</v>
      </c>
      <c r="F957" s="1" t="s">
        <v>998</v>
      </c>
    </row>
    <row r="958" spans="1:6" x14ac:dyDescent="0.3">
      <c r="A958" s="1" t="s">
        <v>2227</v>
      </c>
      <c r="B958" s="13">
        <v>45279</v>
      </c>
      <c r="C958" s="1" t="s">
        <v>1113</v>
      </c>
      <c r="D958" s="1" t="s">
        <v>41</v>
      </c>
      <c r="E958" s="1">
        <v>71</v>
      </c>
      <c r="F958" s="1" t="s">
        <v>999</v>
      </c>
    </row>
    <row r="959" spans="1:6" x14ac:dyDescent="0.3">
      <c r="A959" s="1" t="s">
        <v>2228</v>
      </c>
      <c r="B959" s="13">
        <v>45280</v>
      </c>
      <c r="C959" s="1" t="s">
        <v>1153</v>
      </c>
      <c r="D959" s="1" t="s">
        <v>43</v>
      </c>
      <c r="E959" s="1">
        <v>41</v>
      </c>
      <c r="F959" s="1" t="s">
        <v>1000</v>
      </c>
    </row>
    <row r="960" spans="1:6" x14ac:dyDescent="0.3">
      <c r="A960" s="1" t="s">
        <v>2229</v>
      </c>
      <c r="B960" s="13">
        <v>45280</v>
      </c>
      <c r="C960" s="1" t="s">
        <v>1126</v>
      </c>
      <c r="D960" s="1" t="s">
        <v>43</v>
      </c>
      <c r="E960" s="1">
        <v>59</v>
      </c>
      <c r="F960" s="1" t="s">
        <v>1001</v>
      </c>
    </row>
    <row r="961" spans="1:6" x14ac:dyDescent="0.3">
      <c r="A961" s="1" t="s">
        <v>2230</v>
      </c>
      <c r="B961" s="13">
        <v>45280</v>
      </c>
      <c r="C961" s="1" t="s">
        <v>1254</v>
      </c>
      <c r="D961" s="1" t="s">
        <v>43</v>
      </c>
      <c r="E961" s="1">
        <v>73</v>
      </c>
      <c r="F961" s="1" t="s">
        <v>1002</v>
      </c>
    </row>
    <row r="962" spans="1:6" x14ac:dyDescent="0.3">
      <c r="A962" s="1" t="s">
        <v>2231</v>
      </c>
      <c r="B962" s="13">
        <v>45280</v>
      </c>
      <c r="C962" s="1" t="s">
        <v>1231</v>
      </c>
      <c r="D962" s="1" t="s">
        <v>41</v>
      </c>
      <c r="E962" s="1">
        <v>49</v>
      </c>
      <c r="F962" s="1" t="s">
        <v>1003</v>
      </c>
    </row>
    <row r="963" spans="1:6" x14ac:dyDescent="0.3">
      <c r="A963" s="1" t="s">
        <v>2232</v>
      </c>
      <c r="B963" s="13">
        <v>45281</v>
      </c>
      <c r="C963" s="1" t="s">
        <v>1229</v>
      </c>
      <c r="D963" s="1" t="s">
        <v>43</v>
      </c>
      <c r="E963" s="1">
        <v>48</v>
      </c>
      <c r="F963" s="1" t="s">
        <v>1004</v>
      </c>
    </row>
    <row r="964" spans="1:6" x14ac:dyDescent="0.3">
      <c r="A964" s="1" t="s">
        <v>2233</v>
      </c>
      <c r="B964" s="13">
        <v>45282</v>
      </c>
      <c r="C964" s="1" t="s">
        <v>1203</v>
      </c>
      <c r="D964" s="1" t="s">
        <v>43</v>
      </c>
      <c r="E964" s="1">
        <v>56</v>
      </c>
      <c r="F964" s="1" t="s">
        <v>1005</v>
      </c>
    </row>
    <row r="965" spans="1:6" x14ac:dyDescent="0.3">
      <c r="A965" s="1" t="s">
        <v>2234</v>
      </c>
      <c r="B965" s="13">
        <v>45282</v>
      </c>
      <c r="C965" s="1" t="s">
        <v>1134</v>
      </c>
      <c r="D965" s="1" t="s">
        <v>43</v>
      </c>
      <c r="E965" s="1">
        <v>48</v>
      </c>
      <c r="F965" s="1" t="s">
        <v>1006</v>
      </c>
    </row>
    <row r="966" spans="1:6" x14ac:dyDescent="0.3">
      <c r="A966" s="1" t="s">
        <v>2235</v>
      </c>
      <c r="B966" s="13">
        <v>45282</v>
      </c>
      <c r="C966" s="1" t="s">
        <v>1165</v>
      </c>
      <c r="D966" s="1" t="s">
        <v>41</v>
      </c>
      <c r="E966" s="1">
        <v>66</v>
      </c>
      <c r="F966" s="1" t="s">
        <v>1007</v>
      </c>
    </row>
    <row r="967" spans="1:6" x14ac:dyDescent="0.3">
      <c r="A967" s="1" t="s">
        <v>2236</v>
      </c>
      <c r="B967" s="13">
        <v>45282</v>
      </c>
      <c r="C967" s="1" t="s">
        <v>1173</v>
      </c>
      <c r="D967" s="1" t="s">
        <v>43</v>
      </c>
      <c r="E967" s="1">
        <v>42</v>
      </c>
      <c r="F967" s="1" t="s">
        <v>1008</v>
      </c>
    </row>
    <row r="968" spans="1:6" x14ac:dyDescent="0.3">
      <c r="A968" s="1" t="s">
        <v>2237</v>
      </c>
      <c r="B968" s="13">
        <v>45282</v>
      </c>
      <c r="C968" s="1" t="s">
        <v>1214</v>
      </c>
      <c r="D968" s="1" t="s">
        <v>41</v>
      </c>
      <c r="E968" s="1">
        <v>49</v>
      </c>
      <c r="F968" s="1" t="s">
        <v>1009</v>
      </c>
    </row>
    <row r="969" spans="1:6" x14ac:dyDescent="0.3">
      <c r="A969" s="1" t="s">
        <v>2238</v>
      </c>
      <c r="B969" s="13">
        <v>45282</v>
      </c>
      <c r="C969" s="1" t="s">
        <v>1206</v>
      </c>
      <c r="D969" s="1" t="s">
        <v>41</v>
      </c>
      <c r="E969" s="1">
        <v>46</v>
      </c>
      <c r="F969" s="1" t="s">
        <v>1010</v>
      </c>
    </row>
    <row r="970" spans="1:6" x14ac:dyDescent="0.3">
      <c r="A970" s="1" t="s">
        <v>2239</v>
      </c>
      <c r="B970" s="13">
        <v>45283</v>
      </c>
      <c r="C970" s="1" t="s">
        <v>1132</v>
      </c>
      <c r="D970" s="1" t="s">
        <v>43</v>
      </c>
      <c r="E970" s="1">
        <v>20</v>
      </c>
      <c r="F970" s="1" t="s">
        <v>1011</v>
      </c>
    </row>
    <row r="971" spans="1:6" x14ac:dyDescent="0.3">
      <c r="A971" s="1" t="s">
        <v>2240</v>
      </c>
      <c r="B971" s="13">
        <v>45283</v>
      </c>
      <c r="C971" s="1" t="s">
        <v>1260</v>
      </c>
      <c r="D971" s="1" t="s">
        <v>43</v>
      </c>
      <c r="E971" s="1">
        <v>29</v>
      </c>
      <c r="F971" s="1" t="s">
        <v>1012</v>
      </c>
    </row>
    <row r="972" spans="1:6" x14ac:dyDescent="0.3">
      <c r="A972" s="1" t="s">
        <v>2241</v>
      </c>
      <c r="B972" s="13">
        <v>45285</v>
      </c>
      <c r="C972" s="1" t="s">
        <v>1216</v>
      </c>
      <c r="D972" s="1" t="s">
        <v>41</v>
      </c>
      <c r="E972" s="1">
        <v>62</v>
      </c>
      <c r="F972" s="1" t="s">
        <v>1013</v>
      </c>
    </row>
    <row r="973" spans="1:6" x14ac:dyDescent="0.3">
      <c r="A973" s="1" t="s">
        <v>2242</v>
      </c>
      <c r="B973" s="13">
        <v>45285</v>
      </c>
      <c r="C973" s="1" t="s">
        <v>1224</v>
      </c>
      <c r="D973" s="1" t="s">
        <v>41</v>
      </c>
      <c r="E973" s="1">
        <v>100</v>
      </c>
      <c r="F973" s="1" t="s">
        <v>1014</v>
      </c>
    </row>
    <row r="974" spans="1:6" x14ac:dyDescent="0.3">
      <c r="A974" s="1" t="s">
        <v>2243</v>
      </c>
      <c r="B974" s="13">
        <v>45285</v>
      </c>
      <c r="C974" s="1" t="s">
        <v>1168</v>
      </c>
      <c r="D974" s="1" t="s">
        <v>41</v>
      </c>
      <c r="E974" s="1">
        <v>28</v>
      </c>
      <c r="F974" s="1" t="s">
        <v>1015</v>
      </c>
    </row>
    <row r="975" spans="1:6" x14ac:dyDescent="0.3">
      <c r="A975" s="1" t="s">
        <v>2244</v>
      </c>
      <c r="B975" s="13">
        <v>45285</v>
      </c>
      <c r="C975" s="1" t="s">
        <v>1234</v>
      </c>
      <c r="D975" s="1" t="s">
        <v>43</v>
      </c>
      <c r="E975" s="1">
        <v>26</v>
      </c>
      <c r="F975" s="1" t="s">
        <v>1016</v>
      </c>
    </row>
    <row r="976" spans="1:6" x14ac:dyDescent="0.3">
      <c r="A976" s="1" t="s">
        <v>2245</v>
      </c>
      <c r="B976" s="13">
        <v>45285</v>
      </c>
      <c r="C976" s="1" t="s">
        <v>1258</v>
      </c>
      <c r="D976" s="1" t="s">
        <v>41</v>
      </c>
      <c r="E976" s="1">
        <v>67</v>
      </c>
      <c r="F976" s="1" t="s">
        <v>1017</v>
      </c>
    </row>
    <row r="977" spans="1:6" x14ac:dyDescent="0.3">
      <c r="A977" s="1" t="s">
        <v>2246</v>
      </c>
      <c r="B977" s="13">
        <v>45286</v>
      </c>
      <c r="C977" s="1" t="s">
        <v>1168</v>
      </c>
      <c r="D977" s="1" t="s">
        <v>41</v>
      </c>
      <c r="E977" s="1">
        <v>53</v>
      </c>
      <c r="F977" s="1" t="s">
        <v>1018</v>
      </c>
    </row>
    <row r="978" spans="1:6" x14ac:dyDescent="0.3">
      <c r="A978" s="1" t="s">
        <v>2247</v>
      </c>
      <c r="B978" s="13">
        <v>45286</v>
      </c>
      <c r="C978" s="1" t="s">
        <v>1199</v>
      </c>
      <c r="D978" s="1" t="s">
        <v>43</v>
      </c>
      <c r="E978" s="1">
        <v>49</v>
      </c>
      <c r="F978" s="1" t="s">
        <v>1019</v>
      </c>
    </row>
    <row r="979" spans="1:6" x14ac:dyDescent="0.3">
      <c r="A979" s="1" t="s">
        <v>2248</v>
      </c>
      <c r="B979" s="13">
        <v>45286</v>
      </c>
      <c r="C979" s="1" t="s">
        <v>1233</v>
      </c>
      <c r="D979" s="1" t="s">
        <v>43</v>
      </c>
      <c r="E979" s="1">
        <v>63</v>
      </c>
      <c r="F979" s="1" t="s">
        <v>1020</v>
      </c>
    </row>
    <row r="980" spans="1:6" x14ac:dyDescent="0.3">
      <c r="A980" s="1" t="s">
        <v>2249</v>
      </c>
      <c r="B980" s="13">
        <v>45286</v>
      </c>
      <c r="C980" s="1" t="s">
        <v>1172</v>
      </c>
      <c r="D980" s="1" t="s">
        <v>41</v>
      </c>
      <c r="E980" s="1">
        <v>73</v>
      </c>
      <c r="F980" s="1" t="s">
        <v>1021</v>
      </c>
    </row>
    <row r="981" spans="1:6" x14ac:dyDescent="0.3">
      <c r="A981" s="1" t="s">
        <v>2250</v>
      </c>
      <c r="B981" s="13">
        <v>45287</v>
      </c>
      <c r="C981" s="1" t="s">
        <v>1112</v>
      </c>
      <c r="D981" s="1" t="s">
        <v>41</v>
      </c>
      <c r="E981" s="1">
        <v>89</v>
      </c>
      <c r="F981" s="1" t="s">
        <v>1022</v>
      </c>
    </row>
    <row r="982" spans="1:6" x14ac:dyDescent="0.3">
      <c r="A982" s="1" t="s">
        <v>2251</v>
      </c>
      <c r="B982" s="13">
        <v>45287</v>
      </c>
      <c r="C982" s="1" t="s">
        <v>1199</v>
      </c>
      <c r="D982" s="1" t="s">
        <v>43</v>
      </c>
      <c r="E982" s="1">
        <v>26</v>
      </c>
      <c r="F982" s="1" t="s">
        <v>1023</v>
      </c>
    </row>
    <row r="983" spans="1:6" x14ac:dyDescent="0.3">
      <c r="A983" s="1" t="s">
        <v>2252</v>
      </c>
      <c r="B983" s="13">
        <v>45287</v>
      </c>
      <c r="C983" s="1" t="s">
        <v>1219</v>
      </c>
      <c r="D983" s="1" t="s">
        <v>41</v>
      </c>
      <c r="E983" s="1">
        <v>50</v>
      </c>
      <c r="F983" s="1" t="s">
        <v>1024</v>
      </c>
    </row>
    <row r="984" spans="1:6" x14ac:dyDescent="0.3">
      <c r="A984" s="1" t="s">
        <v>2253</v>
      </c>
      <c r="B984" s="13">
        <v>45288</v>
      </c>
      <c r="C984" s="1" t="s">
        <v>1095</v>
      </c>
      <c r="D984" s="1" t="s">
        <v>41</v>
      </c>
      <c r="E984" s="1">
        <v>43</v>
      </c>
      <c r="F984" s="1" t="s">
        <v>1025</v>
      </c>
    </row>
    <row r="985" spans="1:6" x14ac:dyDescent="0.3">
      <c r="A985" s="1" t="s">
        <v>2254</v>
      </c>
      <c r="B985" s="13">
        <v>45288</v>
      </c>
      <c r="C985" s="1" t="s">
        <v>1203</v>
      </c>
      <c r="D985" s="1" t="s">
        <v>43</v>
      </c>
      <c r="E985" s="1">
        <v>97</v>
      </c>
      <c r="F985" s="1" t="s">
        <v>1026</v>
      </c>
    </row>
    <row r="986" spans="1:6" x14ac:dyDescent="0.3">
      <c r="A986" s="1" t="s">
        <v>2255</v>
      </c>
      <c r="B986" s="13">
        <v>45289</v>
      </c>
      <c r="C986" s="1" t="s">
        <v>1233</v>
      </c>
      <c r="D986" s="1" t="s">
        <v>43</v>
      </c>
      <c r="E986" s="1">
        <v>98</v>
      </c>
      <c r="F986" s="1" t="s">
        <v>1027</v>
      </c>
    </row>
    <row r="987" spans="1:6" x14ac:dyDescent="0.3">
      <c r="A987" s="1" t="s">
        <v>2256</v>
      </c>
      <c r="B987" s="13">
        <v>45289</v>
      </c>
      <c r="C987" s="1" t="s">
        <v>1193</v>
      </c>
      <c r="D987" s="1" t="s">
        <v>43</v>
      </c>
      <c r="E987" s="1">
        <v>52</v>
      </c>
      <c r="F987" s="1" t="s">
        <v>1028</v>
      </c>
    </row>
    <row r="988" spans="1:6" x14ac:dyDescent="0.3">
      <c r="A988" s="1" t="s">
        <v>2257</v>
      </c>
      <c r="B988" s="13">
        <v>45289</v>
      </c>
      <c r="C988" s="1" t="s">
        <v>1262</v>
      </c>
      <c r="D988" s="1" t="s">
        <v>41</v>
      </c>
      <c r="E988" s="1">
        <v>72</v>
      </c>
      <c r="F988" s="1" t="s">
        <v>1029</v>
      </c>
    </row>
    <row r="989" spans="1:6" x14ac:dyDescent="0.3">
      <c r="A989" s="1" t="s">
        <v>2258</v>
      </c>
      <c r="B989" s="13">
        <v>45289</v>
      </c>
      <c r="C989" s="1" t="s">
        <v>1248</v>
      </c>
      <c r="D989" s="1" t="s">
        <v>41</v>
      </c>
      <c r="E989" s="1">
        <v>24</v>
      </c>
      <c r="F989" s="1" t="s">
        <v>1030</v>
      </c>
    </row>
    <row r="990" spans="1:6" x14ac:dyDescent="0.3">
      <c r="A990" s="1" t="s">
        <v>2259</v>
      </c>
      <c r="B990" s="13">
        <v>45290</v>
      </c>
      <c r="C990" s="1" t="s">
        <v>1120</v>
      </c>
      <c r="D990" s="1" t="s">
        <v>41</v>
      </c>
      <c r="E990" s="1">
        <v>81</v>
      </c>
      <c r="F990" s="1" t="s">
        <v>1031</v>
      </c>
    </row>
    <row r="991" spans="1:6" x14ac:dyDescent="0.3">
      <c r="A991" s="1" t="s">
        <v>2260</v>
      </c>
      <c r="B991" s="13">
        <v>45290</v>
      </c>
      <c r="C991" s="1" t="s">
        <v>1265</v>
      </c>
      <c r="D991" s="1" t="s">
        <v>41</v>
      </c>
      <c r="E991" s="1">
        <v>94</v>
      </c>
      <c r="F991" s="1" t="s">
        <v>1032</v>
      </c>
    </row>
    <row r="992" spans="1:6" x14ac:dyDescent="0.3">
      <c r="A992" s="1" t="s">
        <v>2267</v>
      </c>
      <c r="B992" s="13">
        <v>45291</v>
      </c>
      <c r="C992" s="5" t="s">
        <v>1083</v>
      </c>
      <c r="D992" s="1" t="s">
        <v>41</v>
      </c>
      <c r="E992" s="5">
        <v>392</v>
      </c>
      <c r="F992" s="1" t="s">
        <v>2483</v>
      </c>
    </row>
    <row r="993" spans="1:6" x14ac:dyDescent="0.3">
      <c r="A993" s="1" t="s">
        <v>2268</v>
      </c>
      <c r="B993" s="13">
        <v>45292</v>
      </c>
      <c r="C993" s="5" t="s">
        <v>1085</v>
      </c>
      <c r="D993" s="1" t="s">
        <v>41</v>
      </c>
      <c r="E993" s="5">
        <v>453</v>
      </c>
      <c r="F993" s="1" t="s">
        <v>2484</v>
      </c>
    </row>
    <row r="994" spans="1:6" x14ac:dyDescent="0.3">
      <c r="A994" s="1" t="s">
        <v>2269</v>
      </c>
      <c r="B994" s="13">
        <v>45293</v>
      </c>
      <c r="C994" s="5" t="s">
        <v>1087</v>
      </c>
      <c r="D994" s="1" t="s">
        <v>41</v>
      </c>
      <c r="E994" s="5">
        <v>362</v>
      </c>
      <c r="F994" s="1" t="s">
        <v>2485</v>
      </c>
    </row>
    <row r="995" spans="1:6" x14ac:dyDescent="0.3">
      <c r="A995" s="1" t="s">
        <v>2270</v>
      </c>
      <c r="B995" s="13">
        <v>45294</v>
      </c>
      <c r="C995" s="5" t="s">
        <v>1089</v>
      </c>
      <c r="D995" s="1" t="s">
        <v>41</v>
      </c>
      <c r="E995" s="5">
        <v>618</v>
      </c>
      <c r="F995" s="1" t="s">
        <v>2486</v>
      </c>
    </row>
    <row r="996" spans="1:6" x14ac:dyDescent="0.3">
      <c r="A996" s="1" t="s">
        <v>2271</v>
      </c>
      <c r="B996" s="13">
        <v>45295</v>
      </c>
      <c r="C996" s="5" t="s">
        <v>1090</v>
      </c>
      <c r="D996" s="1" t="s">
        <v>41</v>
      </c>
      <c r="E996" s="5">
        <v>172</v>
      </c>
      <c r="F996" s="1" t="s">
        <v>1027</v>
      </c>
    </row>
    <row r="997" spans="1:6" x14ac:dyDescent="0.3">
      <c r="A997" s="1" t="s">
        <v>2272</v>
      </c>
      <c r="B997" s="13">
        <v>45296</v>
      </c>
      <c r="C997" s="5" t="s">
        <v>1091</v>
      </c>
      <c r="D997" s="1" t="s">
        <v>41</v>
      </c>
      <c r="E997" s="5">
        <v>179</v>
      </c>
      <c r="F997" s="1" t="s">
        <v>2487</v>
      </c>
    </row>
    <row r="998" spans="1:6" x14ac:dyDescent="0.3">
      <c r="A998" s="1" t="s">
        <v>2273</v>
      </c>
      <c r="B998" s="13">
        <v>45297</v>
      </c>
      <c r="C998" s="5" t="s">
        <v>1093</v>
      </c>
      <c r="D998" s="1" t="s">
        <v>41</v>
      </c>
      <c r="E998" s="5">
        <v>606</v>
      </c>
      <c r="F998" s="1" t="s">
        <v>2488</v>
      </c>
    </row>
    <row r="999" spans="1:6" x14ac:dyDescent="0.3">
      <c r="A999" s="1" t="s">
        <v>2274</v>
      </c>
      <c r="B999" s="13">
        <v>45298</v>
      </c>
      <c r="C999" s="5" t="s">
        <v>1095</v>
      </c>
      <c r="D999" s="1" t="s">
        <v>41</v>
      </c>
      <c r="E999" s="5">
        <v>349</v>
      </c>
      <c r="F999" s="1" t="s">
        <v>2489</v>
      </c>
    </row>
    <row r="1000" spans="1:6" x14ac:dyDescent="0.3">
      <c r="A1000" s="1" t="s">
        <v>2275</v>
      </c>
      <c r="B1000" s="13">
        <v>45299</v>
      </c>
      <c r="C1000" s="5" t="s">
        <v>1097</v>
      </c>
      <c r="D1000" s="1" t="s">
        <v>41</v>
      </c>
      <c r="E1000" s="5">
        <v>304</v>
      </c>
      <c r="F1000" s="1" t="s">
        <v>2490</v>
      </c>
    </row>
    <row r="1001" spans="1:6" x14ac:dyDescent="0.3">
      <c r="A1001" s="1" t="s">
        <v>2276</v>
      </c>
      <c r="B1001" s="13">
        <v>45300</v>
      </c>
      <c r="C1001" s="5" t="s">
        <v>1099</v>
      </c>
      <c r="D1001" s="1" t="s">
        <v>41</v>
      </c>
      <c r="E1001" s="5">
        <v>331</v>
      </c>
      <c r="F1001" s="1" t="s">
        <v>2491</v>
      </c>
    </row>
    <row r="1002" spans="1:6" x14ac:dyDescent="0.3">
      <c r="A1002" s="1" t="s">
        <v>2277</v>
      </c>
      <c r="B1002" s="13">
        <v>45301</v>
      </c>
      <c r="C1002" s="5" t="s">
        <v>1101</v>
      </c>
      <c r="D1002" s="1" t="s">
        <v>41</v>
      </c>
      <c r="E1002" s="5">
        <v>357</v>
      </c>
      <c r="F1002" s="1" t="s">
        <v>2492</v>
      </c>
    </row>
    <row r="1003" spans="1:6" x14ac:dyDescent="0.3">
      <c r="A1003" s="1" t="s">
        <v>2278</v>
      </c>
      <c r="B1003" s="13">
        <v>45302</v>
      </c>
      <c r="C1003" s="5" t="s">
        <v>1102</v>
      </c>
      <c r="D1003" s="1" t="s">
        <v>41</v>
      </c>
      <c r="E1003" s="5">
        <v>100</v>
      </c>
      <c r="F1003" s="1" t="s">
        <v>2493</v>
      </c>
    </row>
    <row r="1004" spans="1:6" x14ac:dyDescent="0.3">
      <c r="A1004" s="1" t="s">
        <v>2279</v>
      </c>
      <c r="B1004" s="13">
        <v>45303</v>
      </c>
      <c r="C1004" s="5" t="s">
        <v>1104</v>
      </c>
      <c r="D1004" s="1" t="s">
        <v>41</v>
      </c>
      <c r="E1004" s="5">
        <v>262</v>
      </c>
      <c r="F1004" s="1" t="s">
        <v>2494</v>
      </c>
    </row>
    <row r="1005" spans="1:6" x14ac:dyDescent="0.3">
      <c r="A1005" s="1" t="s">
        <v>2280</v>
      </c>
      <c r="B1005" s="13">
        <v>45304</v>
      </c>
      <c r="C1005" s="5" t="s">
        <v>1106</v>
      </c>
      <c r="D1005" s="1" t="s">
        <v>41</v>
      </c>
      <c r="E1005" s="5">
        <v>120</v>
      </c>
      <c r="F1005" s="1" t="s">
        <v>2495</v>
      </c>
    </row>
    <row r="1006" spans="1:6" x14ac:dyDescent="0.3">
      <c r="A1006" s="1" t="s">
        <v>2281</v>
      </c>
      <c r="B1006" s="13">
        <v>45305</v>
      </c>
      <c r="C1006" s="5" t="s">
        <v>1108</v>
      </c>
      <c r="D1006" s="1" t="s">
        <v>41</v>
      </c>
      <c r="E1006" s="5">
        <v>660</v>
      </c>
      <c r="F1006" s="1" t="s">
        <v>1027</v>
      </c>
    </row>
    <row r="1007" spans="1:6" x14ac:dyDescent="0.3">
      <c r="A1007" s="1" t="s">
        <v>2282</v>
      </c>
      <c r="B1007" s="13">
        <v>45306</v>
      </c>
      <c r="C1007" s="5" t="s">
        <v>1109</v>
      </c>
      <c r="D1007" s="1" t="s">
        <v>41</v>
      </c>
      <c r="E1007" s="5">
        <v>165</v>
      </c>
      <c r="F1007" s="1" t="s">
        <v>2496</v>
      </c>
    </row>
    <row r="1008" spans="1:6" x14ac:dyDescent="0.3">
      <c r="A1008" s="1" t="s">
        <v>2283</v>
      </c>
      <c r="B1008" s="13">
        <v>45307</v>
      </c>
      <c r="C1008" s="5" t="s">
        <v>1110</v>
      </c>
      <c r="D1008" s="1" t="s">
        <v>41</v>
      </c>
      <c r="E1008" s="5">
        <v>715</v>
      </c>
      <c r="F1008" s="1" t="s">
        <v>2497</v>
      </c>
    </row>
    <row r="1009" spans="1:6" x14ac:dyDescent="0.3">
      <c r="A1009" s="1" t="s">
        <v>2284</v>
      </c>
      <c r="B1009" s="13">
        <v>45308</v>
      </c>
      <c r="C1009" s="5" t="s">
        <v>1111</v>
      </c>
      <c r="D1009" s="1" t="s">
        <v>41</v>
      </c>
      <c r="E1009" s="5">
        <v>144</v>
      </c>
      <c r="F1009" s="1" t="s">
        <v>2498</v>
      </c>
    </row>
    <row r="1010" spans="1:6" x14ac:dyDescent="0.3">
      <c r="A1010" s="1" t="s">
        <v>2285</v>
      </c>
      <c r="B1010" s="13">
        <v>45309</v>
      </c>
      <c r="C1010" s="5" t="s">
        <v>1112</v>
      </c>
      <c r="D1010" s="1" t="s">
        <v>41</v>
      </c>
      <c r="E1010" s="5">
        <v>554</v>
      </c>
      <c r="F1010" s="1" t="s">
        <v>2499</v>
      </c>
    </row>
    <row r="1011" spans="1:6" x14ac:dyDescent="0.3">
      <c r="A1011" s="1" t="s">
        <v>2286</v>
      </c>
      <c r="B1011" s="13">
        <v>45310</v>
      </c>
      <c r="C1011" s="5" t="s">
        <v>1113</v>
      </c>
      <c r="D1011" s="1" t="s">
        <v>41</v>
      </c>
      <c r="E1011" s="5">
        <v>273</v>
      </c>
      <c r="F1011" s="1" t="s">
        <v>2500</v>
      </c>
    </row>
    <row r="1012" spans="1:6" x14ac:dyDescent="0.3">
      <c r="A1012" s="1" t="s">
        <v>2287</v>
      </c>
      <c r="B1012" s="13">
        <v>45311</v>
      </c>
      <c r="C1012" s="5" t="s">
        <v>1115</v>
      </c>
      <c r="D1012" s="1" t="s">
        <v>41</v>
      </c>
      <c r="E1012" s="5">
        <v>310</v>
      </c>
      <c r="F1012" s="1" t="s">
        <v>2501</v>
      </c>
    </row>
    <row r="1013" spans="1:6" x14ac:dyDescent="0.3">
      <c r="A1013" s="1" t="s">
        <v>2288</v>
      </c>
      <c r="B1013" s="13">
        <v>45312</v>
      </c>
      <c r="C1013" s="5" t="s">
        <v>1117</v>
      </c>
      <c r="D1013" s="1" t="s">
        <v>41</v>
      </c>
      <c r="E1013" s="5">
        <v>435</v>
      </c>
      <c r="F1013" s="1" t="s">
        <v>2502</v>
      </c>
    </row>
    <row r="1014" spans="1:6" x14ac:dyDescent="0.3">
      <c r="A1014" s="1" t="s">
        <v>2289</v>
      </c>
      <c r="B1014" s="13">
        <v>45313</v>
      </c>
      <c r="C1014" s="5" t="s">
        <v>1120</v>
      </c>
      <c r="D1014" s="1" t="s">
        <v>41</v>
      </c>
      <c r="E1014" s="5">
        <v>753</v>
      </c>
      <c r="F1014" s="1" t="s">
        <v>2503</v>
      </c>
    </row>
    <row r="1015" spans="1:6" x14ac:dyDescent="0.3">
      <c r="A1015" s="1" t="s">
        <v>2290</v>
      </c>
      <c r="B1015" s="13">
        <v>45314</v>
      </c>
      <c r="C1015" s="5" t="s">
        <v>1122</v>
      </c>
      <c r="D1015" s="1" t="s">
        <v>41</v>
      </c>
      <c r="E1015" s="5">
        <v>332</v>
      </c>
      <c r="F1015" s="1" t="s">
        <v>2504</v>
      </c>
    </row>
    <row r="1016" spans="1:6" x14ac:dyDescent="0.3">
      <c r="A1016" s="1" t="s">
        <v>2291</v>
      </c>
      <c r="B1016" s="13">
        <v>45315</v>
      </c>
      <c r="C1016" s="5" t="s">
        <v>1123</v>
      </c>
      <c r="D1016" s="1" t="s">
        <v>41</v>
      </c>
      <c r="E1016" s="5">
        <v>270</v>
      </c>
      <c r="F1016" s="1" t="s">
        <v>1027</v>
      </c>
    </row>
    <row r="1017" spans="1:6" x14ac:dyDescent="0.3">
      <c r="A1017" s="1" t="s">
        <v>2292</v>
      </c>
      <c r="B1017" s="13">
        <v>45316</v>
      </c>
      <c r="C1017" s="5" t="s">
        <v>1126</v>
      </c>
      <c r="D1017" s="1" t="s">
        <v>41</v>
      </c>
      <c r="E1017" s="5">
        <v>350</v>
      </c>
      <c r="F1017" s="1" t="s">
        <v>2505</v>
      </c>
    </row>
    <row r="1018" spans="1:6" x14ac:dyDescent="0.3">
      <c r="A1018" s="1" t="s">
        <v>2293</v>
      </c>
      <c r="B1018" s="13">
        <v>45317</v>
      </c>
      <c r="C1018" s="5" t="s">
        <v>1129</v>
      </c>
      <c r="D1018" s="1" t="s">
        <v>41</v>
      </c>
      <c r="E1018" s="5">
        <v>359</v>
      </c>
      <c r="F1018" s="1" t="s">
        <v>2506</v>
      </c>
    </row>
    <row r="1019" spans="1:6" x14ac:dyDescent="0.3">
      <c r="A1019" s="1" t="s">
        <v>2294</v>
      </c>
      <c r="B1019" s="13">
        <v>45318</v>
      </c>
      <c r="C1019" s="5" t="s">
        <v>1130</v>
      </c>
      <c r="D1019" s="1" t="s">
        <v>41</v>
      </c>
      <c r="E1019" s="5">
        <v>657</v>
      </c>
      <c r="F1019" s="1" t="s">
        <v>2507</v>
      </c>
    </row>
    <row r="1020" spans="1:6" x14ac:dyDescent="0.3">
      <c r="A1020" s="1" t="s">
        <v>2295</v>
      </c>
      <c r="B1020" s="13">
        <v>45319</v>
      </c>
      <c r="C1020" s="5" t="s">
        <v>1132</v>
      </c>
      <c r="D1020" s="1" t="s">
        <v>41</v>
      </c>
      <c r="E1020" s="5">
        <v>495</v>
      </c>
      <c r="F1020" s="1" t="s">
        <v>2508</v>
      </c>
    </row>
    <row r="1021" spans="1:6" x14ac:dyDescent="0.3">
      <c r="A1021" s="1" t="s">
        <v>2296</v>
      </c>
      <c r="B1021" s="13">
        <v>45320</v>
      </c>
      <c r="C1021" s="5" t="s">
        <v>1134</v>
      </c>
      <c r="D1021" s="1" t="s">
        <v>41</v>
      </c>
      <c r="E1021" s="5">
        <v>424</v>
      </c>
      <c r="F1021" s="1" t="s">
        <v>2509</v>
      </c>
    </row>
    <row r="1022" spans="1:6" x14ac:dyDescent="0.3">
      <c r="A1022" s="1" t="s">
        <v>2297</v>
      </c>
      <c r="B1022" s="13">
        <v>45321</v>
      </c>
      <c r="C1022" s="5" t="s">
        <v>1136</v>
      </c>
      <c r="D1022" s="1" t="s">
        <v>41</v>
      </c>
      <c r="E1022" s="5">
        <v>797</v>
      </c>
      <c r="F1022" s="1" t="s">
        <v>2510</v>
      </c>
    </row>
    <row r="1023" spans="1:6" x14ac:dyDescent="0.3">
      <c r="A1023" s="1" t="s">
        <v>2298</v>
      </c>
      <c r="B1023" s="13">
        <v>45322</v>
      </c>
      <c r="C1023" s="5" t="s">
        <v>1138</v>
      </c>
      <c r="D1023" s="1" t="s">
        <v>41</v>
      </c>
      <c r="E1023" s="5">
        <v>320</v>
      </c>
      <c r="F1023" s="1" t="s">
        <v>2511</v>
      </c>
    </row>
    <row r="1024" spans="1:6" x14ac:dyDescent="0.3">
      <c r="A1024" s="1" t="s">
        <v>2299</v>
      </c>
      <c r="B1024" s="13">
        <v>45323</v>
      </c>
      <c r="C1024" s="5" t="s">
        <v>1141</v>
      </c>
      <c r="D1024" s="1" t="s">
        <v>41</v>
      </c>
      <c r="E1024" s="5">
        <v>447</v>
      </c>
      <c r="F1024" s="1" t="s">
        <v>2512</v>
      </c>
    </row>
    <row r="1025" spans="1:6" x14ac:dyDescent="0.3">
      <c r="A1025" s="1" t="s">
        <v>2300</v>
      </c>
      <c r="B1025" s="13">
        <v>45324</v>
      </c>
      <c r="C1025" s="5" t="s">
        <v>1142</v>
      </c>
      <c r="D1025" s="1" t="s">
        <v>41</v>
      </c>
      <c r="E1025" s="5">
        <v>335</v>
      </c>
      <c r="F1025" s="1" t="s">
        <v>2513</v>
      </c>
    </row>
    <row r="1026" spans="1:6" x14ac:dyDescent="0.3">
      <c r="A1026" s="1" t="s">
        <v>2301</v>
      </c>
      <c r="B1026" s="13">
        <v>45325</v>
      </c>
      <c r="C1026" s="5" t="s">
        <v>1145</v>
      </c>
      <c r="D1026" s="1" t="s">
        <v>41</v>
      </c>
      <c r="E1026" s="5">
        <v>769</v>
      </c>
      <c r="F1026" s="1" t="s">
        <v>1027</v>
      </c>
    </row>
    <row r="1027" spans="1:6" x14ac:dyDescent="0.3">
      <c r="A1027" s="1" t="s">
        <v>2302</v>
      </c>
      <c r="B1027" s="13">
        <v>45326</v>
      </c>
      <c r="C1027" s="5" t="s">
        <v>1146</v>
      </c>
      <c r="D1027" s="1" t="s">
        <v>41</v>
      </c>
      <c r="E1027" s="5">
        <v>513</v>
      </c>
      <c r="F1027" s="1" t="s">
        <v>2514</v>
      </c>
    </row>
    <row r="1028" spans="1:6" x14ac:dyDescent="0.3">
      <c r="A1028" s="1" t="s">
        <v>2303</v>
      </c>
      <c r="B1028" s="13">
        <v>45327</v>
      </c>
      <c r="C1028" s="5" t="s">
        <v>1147</v>
      </c>
      <c r="D1028" s="1" t="s">
        <v>41</v>
      </c>
      <c r="E1028" s="5">
        <v>260</v>
      </c>
      <c r="F1028" s="1" t="s">
        <v>2515</v>
      </c>
    </row>
    <row r="1029" spans="1:6" x14ac:dyDescent="0.3">
      <c r="A1029" s="1" t="s">
        <v>2304</v>
      </c>
      <c r="B1029" s="13">
        <v>45328</v>
      </c>
      <c r="C1029" s="5" t="s">
        <v>1148</v>
      </c>
      <c r="D1029" s="1" t="s">
        <v>41</v>
      </c>
      <c r="E1029" s="5">
        <v>552</v>
      </c>
      <c r="F1029" s="1" t="s">
        <v>2516</v>
      </c>
    </row>
    <row r="1030" spans="1:6" x14ac:dyDescent="0.3">
      <c r="A1030" s="1" t="s">
        <v>2305</v>
      </c>
      <c r="B1030" s="13">
        <v>45329</v>
      </c>
      <c r="C1030" s="5" t="s">
        <v>1150</v>
      </c>
      <c r="D1030" s="1" t="s">
        <v>41</v>
      </c>
      <c r="E1030" s="5">
        <v>762</v>
      </c>
      <c r="F1030" s="1" t="s">
        <v>2517</v>
      </c>
    </row>
    <row r="1031" spans="1:6" x14ac:dyDescent="0.3">
      <c r="A1031" s="1" t="s">
        <v>2306</v>
      </c>
      <c r="B1031" s="13">
        <v>45330</v>
      </c>
      <c r="C1031" s="5" t="s">
        <v>1151</v>
      </c>
      <c r="D1031" s="1" t="s">
        <v>41</v>
      </c>
      <c r="E1031" s="5">
        <v>392</v>
      </c>
      <c r="F1031" s="1" t="s">
        <v>2518</v>
      </c>
    </row>
    <row r="1032" spans="1:6" x14ac:dyDescent="0.3">
      <c r="A1032" s="1" t="s">
        <v>2307</v>
      </c>
      <c r="B1032" s="13">
        <v>45331</v>
      </c>
      <c r="C1032" s="5" t="s">
        <v>1153</v>
      </c>
      <c r="D1032" s="1" t="s">
        <v>41</v>
      </c>
      <c r="E1032" s="5">
        <v>357</v>
      </c>
      <c r="F1032" s="1" t="s">
        <v>2519</v>
      </c>
    </row>
    <row r="1033" spans="1:6" x14ac:dyDescent="0.3">
      <c r="A1033" s="1" t="s">
        <v>2308</v>
      </c>
      <c r="B1033" s="13">
        <v>45332</v>
      </c>
      <c r="C1033" s="5" t="s">
        <v>1155</v>
      </c>
      <c r="D1033" s="1" t="s">
        <v>41</v>
      </c>
      <c r="E1033" s="5">
        <v>435</v>
      </c>
      <c r="F1033" s="1" t="s">
        <v>2520</v>
      </c>
    </row>
    <row r="1034" spans="1:6" x14ac:dyDescent="0.3">
      <c r="A1034" s="1" t="s">
        <v>2309</v>
      </c>
      <c r="B1034" s="13">
        <v>45333</v>
      </c>
      <c r="C1034" s="5" t="s">
        <v>1156</v>
      </c>
      <c r="D1034" s="1" t="s">
        <v>41</v>
      </c>
      <c r="E1034" s="5">
        <v>216</v>
      </c>
      <c r="F1034" s="1" t="s">
        <v>2521</v>
      </c>
    </row>
    <row r="1035" spans="1:6" x14ac:dyDescent="0.3">
      <c r="A1035" s="1" t="s">
        <v>2310</v>
      </c>
      <c r="B1035" s="13">
        <v>45334</v>
      </c>
      <c r="C1035" s="5" t="s">
        <v>1157</v>
      </c>
      <c r="D1035" s="1" t="s">
        <v>41</v>
      </c>
      <c r="E1035" s="5">
        <v>759</v>
      </c>
      <c r="F1035" s="1" t="s">
        <v>2522</v>
      </c>
    </row>
    <row r="1036" spans="1:6" x14ac:dyDescent="0.3">
      <c r="A1036" s="1" t="s">
        <v>2311</v>
      </c>
      <c r="B1036" s="13">
        <v>45335</v>
      </c>
      <c r="C1036" s="5" t="s">
        <v>1159</v>
      </c>
      <c r="D1036" s="1" t="s">
        <v>41</v>
      </c>
      <c r="E1036" s="5">
        <v>736</v>
      </c>
      <c r="F1036" s="1" t="s">
        <v>1027</v>
      </c>
    </row>
    <row r="1037" spans="1:6" x14ac:dyDescent="0.3">
      <c r="A1037" s="1" t="s">
        <v>2312</v>
      </c>
      <c r="B1037" s="13">
        <v>45336</v>
      </c>
      <c r="C1037" s="5" t="s">
        <v>1161</v>
      </c>
      <c r="D1037" s="1" t="s">
        <v>41</v>
      </c>
      <c r="E1037" s="5">
        <v>666</v>
      </c>
      <c r="F1037" s="1" t="s">
        <v>2523</v>
      </c>
    </row>
    <row r="1038" spans="1:6" x14ac:dyDescent="0.3">
      <c r="A1038" s="1" t="s">
        <v>2313</v>
      </c>
      <c r="B1038" s="13">
        <v>45337</v>
      </c>
      <c r="C1038" s="5" t="s">
        <v>1163</v>
      </c>
      <c r="D1038" s="1" t="s">
        <v>41</v>
      </c>
      <c r="E1038" s="5">
        <v>304</v>
      </c>
      <c r="F1038" s="1" t="s">
        <v>2524</v>
      </c>
    </row>
    <row r="1039" spans="1:6" x14ac:dyDescent="0.3">
      <c r="A1039" s="1" t="s">
        <v>2314</v>
      </c>
      <c r="B1039" s="13">
        <v>45338</v>
      </c>
      <c r="C1039" s="5" t="s">
        <v>1164</v>
      </c>
      <c r="D1039" s="1" t="s">
        <v>41</v>
      </c>
      <c r="E1039" s="5">
        <v>715</v>
      </c>
      <c r="F1039" s="1" t="s">
        <v>2525</v>
      </c>
    </row>
    <row r="1040" spans="1:6" x14ac:dyDescent="0.3">
      <c r="A1040" s="1" t="s">
        <v>2315</v>
      </c>
      <c r="B1040" s="13">
        <v>45339</v>
      </c>
      <c r="C1040" s="5" t="s">
        <v>1165</v>
      </c>
      <c r="D1040" s="1" t="s">
        <v>41</v>
      </c>
      <c r="E1040" s="5">
        <v>183</v>
      </c>
      <c r="F1040" s="1" t="s">
        <v>2526</v>
      </c>
    </row>
    <row r="1041" spans="1:6" x14ac:dyDescent="0.3">
      <c r="A1041" s="1" t="s">
        <v>2316</v>
      </c>
      <c r="B1041" s="13">
        <v>45340</v>
      </c>
      <c r="C1041" s="5" t="s">
        <v>1168</v>
      </c>
      <c r="D1041" s="1" t="s">
        <v>41</v>
      </c>
      <c r="E1041" s="5">
        <v>370</v>
      </c>
      <c r="F1041" s="1" t="s">
        <v>2527</v>
      </c>
    </row>
    <row r="1042" spans="1:6" x14ac:dyDescent="0.3">
      <c r="A1042" s="1" t="s">
        <v>2317</v>
      </c>
      <c r="B1042" s="13">
        <v>45341</v>
      </c>
      <c r="C1042" s="5" t="s">
        <v>1170</v>
      </c>
      <c r="D1042" s="1" t="s">
        <v>41</v>
      </c>
      <c r="E1042" s="5">
        <v>248</v>
      </c>
      <c r="F1042" s="1" t="s">
        <v>2528</v>
      </c>
    </row>
    <row r="1043" spans="1:6" x14ac:dyDescent="0.3">
      <c r="A1043" s="1" t="s">
        <v>2318</v>
      </c>
      <c r="B1043" s="13">
        <v>45342</v>
      </c>
      <c r="C1043" s="5" t="s">
        <v>1172</v>
      </c>
      <c r="D1043" s="1" t="s">
        <v>41</v>
      </c>
      <c r="E1043" s="5">
        <v>189</v>
      </c>
      <c r="F1043" s="1" t="s">
        <v>2529</v>
      </c>
    </row>
    <row r="1044" spans="1:6" x14ac:dyDescent="0.3">
      <c r="A1044" s="1" t="s">
        <v>2319</v>
      </c>
      <c r="B1044" s="13">
        <v>45343</v>
      </c>
      <c r="C1044" s="5" t="s">
        <v>1173</v>
      </c>
      <c r="D1044" s="1" t="s">
        <v>41</v>
      </c>
      <c r="E1044" s="5">
        <v>367</v>
      </c>
      <c r="F1044" s="1" t="s">
        <v>2530</v>
      </c>
    </row>
    <row r="1045" spans="1:6" x14ac:dyDescent="0.3">
      <c r="A1045" s="1" t="s">
        <v>2320</v>
      </c>
      <c r="B1045" s="13">
        <v>45344</v>
      </c>
      <c r="C1045" s="5" t="s">
        <v>1174</v>
      </c>
      <c r="D1045" s="1" t="s">
        <v>41</v>
      </c>
      <c r="E1045" s="5">
        <v>537</v>
      </c>
      <c r="F1045" s="1" t="s">
        <v>2531</v>
      </c>
    </row>
    <row r="1046" spans="1:6" x14ac:dyDescent="0.3">
      <c r="A1046" s="1" t="s">
        <v>2321</v>
      </c>
      <c r="B1046" s="13">
        <v>45345</v>
      </c>
      <c r="C1046" s="5" t="s">
        <v>1176</v>
      </c>
      <c r="D1046" s="1" t="s">
        <v>41</v>
      </c>
      <c r="E1046" s="5">
        <v>561</v>
      </c>
      <c r="F1046" s="1" t="s">
        <v>1027</v>
      </c>
    </row>
    <row r="1047" spans="1:6" x14ac:dyDescent="0.3">
      <c r="A1047" s="1" t="s">
        <v>2322</v>
      </c>
      <c r="B1047" s="13">
        <v>45346</v>
      </c>
      <c r="C1047" s="5" t="s">
        <v>1177</v>
      </c>
      <c r="D1047" s="1" t="s">
        <v>41</v>
      </c>
      <c r="E1047" s="5">
        <v>587</v>
      </c>
      <c r="F1047" s="1" t="s">
        <v>2532</v>
      </c>
    </row>
    <row r="1048" spans="1:6" x14ac:dyDescent="0.3">
      <c r="A1048" s="1" t="s">
        <v>2323</v>
      </c>
      <c r="B1048" s="13">
        <v>45347</v>
      </c>
      <c r="C1048" s="5" t="s">
        <v>1179</v>
      </c>
      <c r="D1048" s="1" t="s">
        <v>41</v>
      </c>
      <c r="E1048" s="5">
        <v>480</v>
      </c>
      <c r="F1048" s="1" t="s">
        <v>2533</v>
      </c>
    </row>
    <row r="1049" spans="1:6" x14ac:dyDescent="0.3">
      <c r="A1049" s="1" t="s">
        <v>2324</v>
      </c>
      <c r="B1049" s="13">
        <v>45348</v>
      </c>
      <c r="C1049" s="5" t="s">
        <v>1180</v>
      </c>
      <c r="D1049" s="1" t="s">
        <v>41</v>
      </c>
      <c r="E1049" s="5">
        <v>343</v>
      </c>
      <c r="F1049" s="1" t="s">
        <v>2534</v>
      </c>
    </row>
    <row r="1050" spans="1:6" x14ac:dyDescent="0.3">
      <c r="A1050" s="1" t="s">
        <v>2325</v>
      </c>
      <c r="B1050" s="13">
        <v>45349</v>
      </c>
      <c r="C1050" s="5" t="s">
        <v>1181</v>
      </c>
      <c r="D1050" s="1" t="s">
        <v>41</v>
      </c>
      <c r="E1050" s="5">
        <v>440</v>
      </c>
      <c r="F1050" s="1" t="s">
        <v>2535</v>
      </c>
    </row>
    <row r="1051" spans="1:6" x14ac:dyDescent="0.3">
      <c r="A1051" s="1" t="s">
        <v>2326</v>
      </c>
      <c r="B1051" s="13">
        <v>45350</v>
      </c>
      <c r="C1051" s="5" t="s">
        <v>1183</v>
      </c>
      <c r="D1051" s="1" t="s">
        <v>41</v>
      </c>
      <c r="E1051" s="5">
        <v>761</v>
      </c>
      <c r="F1051" s="1" t="s">
        <v>2536</v>
      </c>
    </row>
    <row r="1052" spans="1:6" x14ac:dyDescent="0.3">
      <c r="A1052" s="1" t="s">
        <v>2327</v>
      </c>
      <c r="B1052" s="13">
        <v>45351</v>
      </c>
      <c r="C1052" s="5" t="s">
        <v>1185</v>
      </c>
      <c r="D1052" s="1" t="s">
        <v>41</v>
      </c>
      <c r="E1052" s="5">
        <v>419</v>
      </c>
      <c r="F1052" s="1" t="s">
        <v>2537</v>
      </c>
    </row>
    <row r="1053" spans="1:6" x14ac:dyDescent="0.3">
      <c r="A1053" s="1" t="s">
        <v>2328</v>
      </c>
      <c r="B1053" s="13">
        <v>45352</v>
      </c>
      <c r="C1053" s="5" t="s">
        <v>1186</v>
      </c>
      <c r="D1053" s="1" t="s">
        <v>41</v>
      </c>
      <c r="E1053" s="5">
        <v>654</v>
      </c>
      <c r="F1053" s="1" t="s">
        <v>2538</v>
      </c>
    </row>
    <row r="1054" spans="1:6" x14ac:dyDescent="0.3">
      <c r="A1054" s="1" t="s">
        <v>2329</v>
      </c>
      <c r="B1054" s="13">
        <v>45353</v>
      </c>
      <c r="C1054" s="5" t="s">
        <v>1187</v>
      </c>
      <c r="D1054" s="1" t="s">
        <v>41</v>
      </c>
      <c r="E1054" s="5">
        <v>192</v>
      </c>
      <c r="F1054" s="1" t="s">
        <v>2539</v>
      </c>
    </row>
    <row r="1055" spans="1:6" x14ac:dyDescent="0.3">
      <c r="A1055" s="1" t="s">
        <v>2330</v>
      </c>
      <c r="B1055" s="13">
        <v>45354</v>
      </c>
      <c r="C1055" s="5" t="s">
        <v>1189</v>
      </c>
      <c r="D1055" s="1" t="s">
        <v>41</v>
      </c>
      <c r="E1055" s="5">
        <v>383</v>
      </c>
      <c r="F1055" s="1" t="s">
        <v>2540</v>
      </c>
    </row>
    <row r="1056" spans="1:6" x14ac:dyDescent="0.3">
      <c r="A1056" s="1" t="s">
        <v>2331</v>
      </c>
      <c r="B1056" s="13">
        <v>45355</v>
      </c>
      <c r="C1056" s="5" t="s">
        <v>1190</v>
      </c>
      <c r="D1056" s="1" t="s">
        <v>41</v>
      </c>
      <c r="E1056" s="5">
        <v>675</v>
      </c>
      <c r="F1056" s="1" t="s">
        <v>1027</v>
      </c>
    </row>
    <row r="1057" spans="1:6" x14ac:dyDescent="0.3">
      <c r="A1057" s="1" t="s">
        <v>2332</v>
      </c>
      <c r="B1057" s="13">
        <v>45356</v>
      </c>
      <c r="C1057" s="5" t="s">
        <v>1191</v>
      </c>
      <c r="D1057" s="1" t="s">
        <v>41</v>
      </c>
      <c r="E1057" s="5">
        <v>331</v>
      </c>
      <c r="F1057" s="1" t="s">
        <v>2541</v>
      </c>
    </row>
    <row r="1058" spans="1:6" x14ac:dyDescent="0.3">
      <c r="A1058" s="1" t="s">
        <v>2333</v>
      </c>
      <c r="B1058" s="13">
        <v>45357</v>
      </c>
      <c r="C1058" s="5" t="s">
        <v>1193</v>
      </c>
      <c r="D1058" s="1" t="s">
        <v>41</v>
      </c>
      <c r="E1058" s="5">
        <v>744</v>
      </c>
      <c r="F1058" s="1" t="s">
        <v>2542</v>
      </c>
    </row>
    <row r="1059" spans="1:6" x14ac:dyDescent="0.3">
      <c r="A1059" s="1" t="s">
        <v>2334</v>
      </c>
      <c r="B1059" s="13">
        <v>45358</v>
      </c>
      <c r="C1059" s="5" t="s">
        <v>1195</v>
      </c>
      <c r="D1059" s="1" t="s">
        <v>41</v>
      </c>
      <c r="E1059" s="5">
        <v>676</v>
      </c>
      <c r="F1059" s="1" t="s">
        <v>2543</v>
      </c>
    </row>
    <row r="1060" spans="1:6" x14ac:dyDescent="0.3">
      <c r="A1060" s="1" t="s">
        <v>2335</v>
      </c>
      <c r="B1060" s="13">
        <v>45359</v>
      </c>
      <c r="C1060" s="5" t="s">
        <v>1197</v>
      </c>
      <c r="D1060" s="1" t="s">
        <v>41</v>
      </c>
      <c r="E1060" s="5">
        <v>416</v>
      </c>
      <c r="F1060" s="1" t="s">
        <v>2544</v>
      </c>
    </row>
    <row r="1061" spans="1:6" x14ac:dyDescent="0.3">
      <c r="A1061" s="1" t="s">
        <v>2336</v>
      </c>
      <c r="B1061" s="13">
        <v>45360</v>
      </c>
      <c r="C1061" s="5" t="s">
        <v>1199</v>
      </c>
      <c r="D1061" s="1" t="s">
        <v>41</v>
      </c>
      <c r="E1061" s="5">
        <v>284</v>
      </c>
      <c r="F1061" s="1" t="s">
        <v>2545</v>
      </c>
    </row>
    <row r="1062" spans="1:6" x14ac:dyDescent="0.3">
      <c r="A1062" s="1" t="s">
        <v>2337</v>
      </c>
      <c r="B1062" s="13">
        <v>45361</v>
      </c>
      <c r="C1062" s="5" t="s">
        <v>1201</v>
      </c>
      <c r="D1062" s="1" t="s">
        <v>41</v>
      </c>
      <c r="E1062" s="5">
        <v>134</v>
      </c>
      <c r="F1062" s="1" t="s">
        <v>2546</v>
      </c>
    </row>
    <row r="1063" spans="1:6" x14ac:dyDescent="0.3">
      <c r="A1063" s="1" t="s">
        <v>2338</v>
      </c>
      <c r="B1063" s="13">
        <v>45362</v>
      </c>
      <c r="C1063" s="5" t="s">
        <v>1202</v>
      </c>
      <c r="D1063" s="1" t="s">
        <v>41</v>
      </c>
      <c r="E1063" s="5">
        <v>600</v>
      </c>
      <c r="F1063" s="1" t="s">
        <v>2547</v>
      </c>
    </row>
    <row r="1064" spans="1:6" x14ac:dyDescent="0.3">
      <c r="A1064" s="1" t="s">
        <v>2339</v>
      </c>
      <c r="B1064" s="13">
        <v>45363</v>
      </c>
      <c r="C1064" s="5" t="s">
        <v>1203</v>
      </c>
      <c r="D1064" s="1" t="s">
        <v>41</v>
      </c>
      <c r="E1064" s="5">
        <v>655</v>
      </c>
      <c r="F1064" s="1" t="s">
        <v>2548</v>
      </c>
    </row>
    <row r="1065" spans="1:6" x14ac:dyDescent="0.3">
      <c r="A1065" s="1" t="s">
        <v>2340</v>
      </c>
      <c r="B1065" s="13">
        <v>45364</v>
      </c>
      <c r="C1065" s="5" t="s">
        <v>1204</v>
      </c>
      <c r="D1065" s="1" t="s">
        <v>41</v>
      </c>
      <c r="E1065" s="5">
        <v>614</v>
      </c>
      <c r="F1065" s="1" t="s">
        <v>2549</v>
      </c>
    </row>
    <row r="1066" spans="1:6" x14ac:dyDescent="0.3">
      <c r="A1066" s="1" t="s">
        <v>2341</v>
      </c>
      <c r="B1066" s="13">
        <v>45365</v>
      </c>
      <c r="C1066" s="5" t="s">
        <v>1206</v>
      </c>
      <c r="D1066" s="1" t="s">
        <v>41</v>
      </c>
      <c r="E1066" s="5">
        <v>153</v>
      </c>
      <c r="F1066" s="1" t="s">
        <v>1027</v>
      </c>
    </row>
    <row r="1067" spans="1:6" x14ac:dyDescent="0.3">
      <c r="A1067" s="1" t="s">
        <v>2342</v>
      </c>
      <c r="B1067" s="13">
        <v>45366</v>
      </c>
      <c r="C1067" s="5" t="s">
        <v>1208</v>
      </c>
      <c r="D1067" s="1" t="s">
        <v>41</v>
      </c>
      <c r="E1067" s="5">
        <v>315</v>
      </c>
      <c r="F1067" s="1" t="s">
        <v>2550</v>
      </c>
    </row>
    <row r="1068" spans="1:6" x14ac:dyDescent="0.3">
      <c r="A1068" s="1" t="s">
        <v>2343</v>
      </c>
      <c r="B1068" s="13">
        <v>45367</v>
      </c>
      <c r="C1068" s="5" t="s">
        <v>1210</v>
      </c>
      <c r="D1068" s="1" t="s">
        <v>41</v>
      </c>
      <c r="E1068" s="5">
        <v>406</v>
      </c>
      <c r="F1068" s="1" t="s">
        <v>2551</v>
      </c>
    </row>
    <row r="1069" spans="1:6" x14ac:dyDescent="0.3">
      <c r="A1069" s="1" t="s">
        <v>2344</v>
      </c>
      <c r="B1069" s="13">
        <v>45368</v>
      </c>
      <c r="C1069" s="5" t="s">
        <v>1212</v>
      </c>
      <c r="D1069" s="1" t="s">
        <v>41</v>
      </c>
      <c r="E1069" s="5">
        <v>600</v>
      </c>
      <c r="F1069" s="1" t="s">
        <v>2552</v>
      </c>
    </row>
    <row r="1070" spans="1:6" x14ac:dyDescent="0.3">
      <c r="A1070" s="1" t="s">
        <v>2345</v>
      </c>
      <c r="B1070" s="13">
        <v>45369</v>
      </c>
      <c r="C1070" s="5" t="s">
        <v>1214</v>
      </c>
      <c r="D1070" s="1" t="s">
        <v>41</v>
      </c>
      <c r="E1070" s="5">
        <v>783</v>
      </c>
      <c r="F1070" s="1" t="s">
        <v>2553</v>
      </c>
    </row>
    <row r="1071" spans="1:6" x14ac:dyDescent="0.3">
      <c r="A1071" s="1" t="s">
        <v>2346</v>
      </c>
      <c r="B1071" s="13">
        <v>45370</v>
      </c>
      <c r="C1071" s="5" t="s">
        <v>1216</v>
      </c>
      <c r="D1071" s="1" t="s">
        <v>41</v>
      </c>
      <c r="E1071" s="5">
        <v>518</v>
      </c>
      <c r="F1071" s="1" t="s">
        <v>2554</v>
      </c>
    </row>
    <row r="1072" spans="1:6" x14ac:dyDescent="0.3">
      <c r="A1072" s="1" t="s">
        <v>2347</v>
      </c>
      <c r="B1072" s="13">
        <v>45371</v>
      </c>
      <c r="C1072" s="5" t="s">
        <v>1217</v>
      </c>
      <c r="D1072" s="1" t="s">
        <v>41</v>
      </c>
      <c r="E1072" s="5">
        <v>715</v>
      </c>
      <c r="F1072" s="1" t="s">
        <v>2555</v>
      </c>
    </row>
    <row r="1073" spans="1:6" x14ac:dyDescent="0.3">
      <c r="A1073" s="1" t="s">
        <v>2348</v>
      </c>
      <c r="B1073" s="13">
        <v>45372</v>
      </c>
      <c r="C1073" s="5" t="s">
        <v>1218</v>
      </c>
      <c r="D1073" s="1" t="s">
        <v>41</v>
      </c>
      <c r="E1073" s="5">
        <v>164</v>
      </c>
      <c r="F1073" s="1" t="s">
        <v>2556</v>
      </c>
    </row>
    <row r="1074" spans="1:6" x14ac:dyDescent="0.3">
      <c r="A1074" s="1" t="s">
        <v>2349</v>
      </c>
      <c r="B1074" s="13">
        <v>45373</v>
      </c>
      <c r="C1074" s="5" t="s">
        <v>1219</v>
      </c>
      <c r="D1074" s="1" t="s">
        <v>41</v>
      </c>
      <c r="E1074" s="5">
        <v>789</v>
      </c>
      <c r="F1074" s="1" t="s">
        <v>2557</v>
      </c>
    </row>
    <row r="1075" spans="1:6" x14ac:dyDescent="0.3">
      <c r="A1075" s="1" t="s">
        <v>2350</v>
      </c>
      <c r="B1075" s="13">
        <v>45374</v>
      </c>
      <c r="C1075" s="5" t="s">
        <v>1220</v>
      </c>
      <c r="D1075" s="1" t="s">
        <v>41</v>
      </c>
      <c r="E1075" s="5">
        <v>516</v>
      </c>
      <c r="F1075" s="1" t="s">
        <v>2558</v>
      </c>
    </row>
    <row r="1076" spans="1:6" x14ac:dyDescent="0.3">
      <c r="A1076" s="1" t="s">
        <v>2351</v>
      </c>
      <c r="B1076" s="13">
        <v>45375</v>
      </c>
      <c r="C1076" s="5" t="s">
        <v>1221</v>
      </c>
      <c r="D1076" s="1" t="s">
        <v>41</v>
      </c>
      <c r="E1076" s="5">
        <v>610</v>
      </c>
      <c r="F1076" s="1" t="s">
        <v>1027</v>
      </c>
    </row>
    <row r="1077" spans="1:6" x14ac:dyDescent="0.3">
      <c r="A1077" s="1" t="s">
        <v>2352</v>
      </c>
      <c r="B1077" s="13">
        <v>45376</v>
      </c>
      <c r="C1077" s="5" t="s">
        <v>1222</v>
      </c>
      <c r="D1077" s="1" t="s">
        <v>41</v>
      </c>
      <c r="E1077" s="5">
        <v>278</v>
      </c>
      <c r="F1077" s="1" t="s">
        <v>2559</v>
      </c>
    </row>
    <row r="1078" spans="1:6" x14ac:dyDescent="0.3">
      <c r="A1078" s="1" t="s">
        <v>2353</v>
      </c>
      <c r="B1078" s="13">
        <v>45377</v>
      </c>
      <c r="C1078" s="5" t="s">
        <v>1223</v>
      </c>
      <c r="D1078" s="1" t="s">
        <v>41</v>
      </c>
      <c r="E1078" s="5">
        <v>213</v>
      </c>
      <c r="F1078" s="1" t="s">
        <v>2560</v>
      </c>
    </row>
    <row r="1079" spans="1:6" x14ac:dyDescent="0.3">
      <c r="A1079" s="1" t="s">
        <v>2354</v>
      </c>
      <c r="B1079" s="13">
        <v>45378</v>
      </c>
      <c r="C1079" s="5" t="s">
        <v>1224</v>
      </c>
      <c r="D1079" s="1" t="s">
        <v>41</v>
      </c>
      <c r="E1079" s="5">
        <v>207</v>
      </c>
      <c r="F1079" s="1" t="s">
        <v>2561</v>
      </c>
    </row>
    <row r="1080" spans="1:6" x14ac:dyDescent="0.3">
      <c r="A1080" s="1" t="s">
        <v>2355</v>
      </c>
      <c r="B1080" s="13">
        <v>45379</v>
      </c>
      <c r="C1080" s="5" t="s">
        <v>1225</v>
      </c>
      <c r="D1080" s="1" t="s">
        <v>41</v>
      </c>
      <c r="E1080" s="5">
        <v>361</v>
      </c>
      <c r="F1080" s="1" t="s">
        <v>2562</v>
      </c>
    </row>
    <row r="1081" spans="1:6" x14ac:dyDescent="0.3">
      <c r="A1081" s="1" t="s">
        <v>2356</v>
      </c>
      <c r="B1081" s="13">
        <v>45380</v>
      </c>
      <c r="C1081" s="5" t="s">
        <v>1226</v>
      </c>
      <c r="D1081" s="1" t="s">
        <v>41</v>
      </c>
      <c r="E1081" s="5">
        <v>373</v>
      </c>
      <c r="F1081" s="1" t="s">
        <v>2563</v>
      </c>
    </row>
    <row r="1082" spans="1:6" x14ac:dyDescent="0.3">
      <c r="A1082" s="1" t="s">
        <v>2357</v>
      </c>
      <c r="B1082" s="13">
        <v>45381</v>
      </c>
      <c r="C1082" s="5" t="s">
        <v>1227</v>
      </c>
      <c r="D1082" s="1" t="s">
        <v>41</v>
      </c>
      <c r="E1082" s="5">
        <v>518</v>
      </c>
      <c r="F1082" s="1" t="s">
        <v>2564</v>
      </c>
    </row>
    <row r="1083" spans="1:6" x14ac:dyDescent="0.3">
      <c r="A1083" s="1" t="s">
        <v>2358</v>
      </c>
      <c r="B1083" s="13">
        <v>45382</v>
      </c>
      <c r="C1083" s="5" t="s">
        <v>1228</v>
      </c>
      <c r="D1083" s="1" t="s">
        <v>41</v>
      </c>
      <c r="E1083" s="5">
        <v>635</v>
      </c>
      <c r="F1083" s="1" t="s">
        <v>2565</v>
      </c>
    </row>
    <row r="1084" spans="1:6" x14ac:dyDescent="0.3">
      <c r="A1084" s="1" t="s">
        <v>2359</v>
      </c>
      <c r="B1084" s="13">
        <v>45383</v>
      </c>
      <c r="C1084" s="5" t="s">
        <v>1229</v>
      </c>
      <c r="D1084" s="1" t="s">
        <v>41</v>
      </c>
      <c r="E1084" s="5">
        <v>283</v>
      </c>
      <c r="F1084" s="1" t="s">
        <v>2566</v>
      </c>
    </row>
    <row r="1085" spans="1:6" x14ac:dyDescent="0.3">
      <c r="A1085" s="1" t="s">
        <v>2360</v>
      </c>
      <c r="B1085" s="13">
        <v>45384</v>
      </c>
      <c r="C1085" s="5" t="s">
        <v>1230</v>
      </c>
      <c r="D1085" s="1" t="s">
        <v>41</v>
      </c>
      <c r="E1085" s="5">
        <v>256</v>
      </c>
      <c r="F1085" s="1" t="s">
        <v>2567</v>
      </c>
    </row>
    <row r="1086" spans="1:6" x14ac:dyDescent="0.3">
      <c r="A1086" s="1" t="s">
        <v>2361</v>
      </c>
      <c r="B1086" s="13">
        <v>45385</v>
      </c>
      <c r="C1086" s="5" t="s">
        <v>1231</v>
      </c>
      <c r="D1086" s="1" t="s">
        <v>41</v>
      </c>
      <c r="E1086" s="5">
        <v>752</v>
      </c>
      <c r="F1086" s="1" t="s">
        <v>1027</v>
      </c>
    </row>
    <row r="1087" spans="1:6" x14ac:dyDescent="0.3">
      <c r="A1087" s="1" t="s">
        <v>2362</v>
      </c>
      <c r="B1087" s="13">
        <v>45386</v>
      </c>
      <c r="C1087" s="5" t="s">
        <v>1232</v>
      </c>
      <c r="D1087" s="1" t="s">
        <v>41</v>
      </c>
      <c r="E1087" s="5">
        <v>635</v>
      </c>
      <c r="F1087" s="1" t="s">
        <v>2568</v>
      </c>
    </row>
    <row r="1088" spans="1:6" x14ac:dyDescent="0.3">
      <c r="A1088" s="1" t="s">
        <v>2363</v>
      </c>
      <c r="B1088" s="13">
        <v>45387</v>
      </c>
      <c r="C1088" s="5" t="s">
        <v>1233</v>
      </c>
      <c r="D1088" s="1" t="s">
        <v>41</v>
      </c>
      <c r="E1088" s="5">
        <v>575</v>
      </c>
      <c r="F1088" s="1" t="s">
        <v>2569</v>
      </c>
    </row>
    <row r="1089" spans="1:6" x14ac:dyDescent="0.3">
      <c r="A1089" s="1" t="s">
        <v>2364</v>
      </c>
      <c r="B1089" s="13">
        <v>45388</v>
      </c>
      <c r="C1089" s="5" t="s">
        <v>1234</v>
      </c>
      <c r="D1089" s="1" t="s">
        <v>41</v>
      </c>
      <c r="E1089" s="5">
        <v>468</v>
      </c>
      <c r="F1089" s="1" t="s">
        <v>2570</v>
      </c>
    </row>
    <row r="1090" spans="1:6" x14ac:dyDescent="0.3">
      <c r="A1090" s="1" t="s">
        <v>2365</v>
      </c>
      <c r="B1090" s="13">
        <v>45389</v>
      </c>
      <c r="C1090" s="5" t="s">
        <v>1235</v>
      </c>
      <c r="D1090" s="1" t="s">
        <v>41</v>
      </c>
      <c r="E1090" s="5">
        <v>710</v>
      </c>
      <c r="F1090" s="1" t="s">
        <v>2571</v>
      </c>
    </row>
    <row r="1091" spans="1:6" x14ac:dyDescent="0.3">
      <c r="A1091" s="1" t="s">
        <v>2366</v>
      </c>
      <c r="B1091" s="13">
        <v>45390</v>
      </c>
      <c r="C1091" s="5" t="s">
        <v>1236</v>
      </c>
      <c r="D1091" s="1" t="s">
        <v>41</v>
      </c>
      <c r="E1091" s="5">
        <v>290</v>
      </c>
      <c r="F1091" s="1" t="s">
        <v>2572</v>
      </c>
    </row>
    <row r="1092" spans="1:6" x14ac:dyDescent="0.3">
      <c r="A1092" s="1" t="s">
        <v>2367</v>
      </c>
      <c r="B1092" s="13">
        <v>45391</v>
      </c>
      <c r="C1092" s="5" t="s">
        <v>1237</v>
      </c>
      <c r="D1092" s="1" t="s">
        <v>41</v>
      </c>
      <c r="E1092" s="5">
        <v>447</v>
      </c>
      <c r="F1092" s="1" t="s">
        <v>2573</v>
      </c>
    </row>
    <row r="1093" spans="1:6" x14ac:dyDescent="0.3">
      <c r="A1093" s="1" t="s">
        <v>2368</v>
      </c>
      <c r="B1093" s="13">
        <v>45392</v>
      </c>
      <c r="C1093" s="5" t="s">
        <v>1238</v>
      </c>
      <c r="D1093" s="1" t="s">
        <v>41</v>
      </c>
      <c r="E1093" s="5">
        <v>427</v>
      </c>
      <c r="F1093" s="1" t="s">
        <v>2574</v>
      </c>
    </row>
    <row r="1094" spans="1:6" x14ac:dyDescent="0.3">
      <c r="A1094" s="1" t="s">
        <v>2369</v>
      </c>
      <c r="B1094" s="13">
        <v>45393</v>
      </c>
      <c r="C1094" s="5" t="s">
        <v>1240</v>
      </c>
      <c r="D1094" s="1" t="s">
        <v>41</v>
      </c>
      <c r="E1094" s="5">
        <v>708</v>
      </c>
      <c r="F1094" s="1" t="s">
        <v>2575</v>
      </c>
    </row>
    <row r="1095" spans="1:6" x14ac:dyDescent="0.3">
      <c r="A1095" s="1" t="s">
        <v>2370</v>
      </c>
      <c r="B1095" s="13">
        <v>45394</v>
      </c>
      <c r="C1095" s="5" t="s">
        <v>1242</v>
      </c>
      <c r="D1095" s="1" t="s">
        <v>41</v>
      </c>
      <c r="E1095" s="5">
        <v>579</v>
      </c>
      <c r="F1095" s="1" t="s">
        <v>2576</v>
      </c>
    </row>
    <row r="1096" spans="1:6" x14ac:dyDescent="0.3">
      <c r="A1096" s="1" t="s">
        <v>2371</v>
      </c>
      <c r="B1096" s="13">
        <v>45395</v>
      </c>
      <c r="C1096" s="5" t="s">
        <v>1244</v>
      </c>
      <c r="D1096" s="1" t="s">
        <v>41</v>
      </c>
      <c r="E1096" s="5">
        <v>432</v>
      </c>
      <c r="F1096" s="1" t="s">
        <v>1027</v>
      </c>
    </row>
    <row r="1097" spans="1:6" x14ac:dyDescent="0.3">
      <c r="A1097" s="1" t="s">
        <v>2372</v>
      </c>
      <c r="B1097" s="13">
        <v>45396</v>
      </c>
      <c r="C1097" s="5" t="s">
        <v>1246</v>
      </c>
      <c r="D1097" s="1" t="s">
        <v>41</v>
      </c>
      <c r="E1097" s="5">
        <v>462</v>
      </c>
      <c r="F1097" s="1" t="s">
        <v>2577</v>
      </c>
    </row>
    <row r="1098" spans="1:6" x14ac:dyDescent="0.3">
      <c r="A1098" s="1" t="s">
        <v>2373</v>
      </c>
      <c r="B1098" s="13">
        <v>45397</v>
      </c>
      <c r="C1098" s="5" t="s">
        <v>1248</v>
      </c>
      <c r="D1098" s="1" t="s">
        <v>41</v>
      </c>
      <c r="E1098" s="5">
        <v>438</v>
      </c>
      <c r="F1098" s="1" t="s">
        <v>2578</v>
      </c>
    </row>
    <row r="1099" spans="1:6" x14ac:dyDescent="0.3">
      <c r="A1099" s="1" t="s">
        <v>2374</v>
      </c>
      <c r="B1099" s="13">
        <v>45398</v>
      </c>
      <c r="C1099" s="5" t="s">
        <v>1249</v>
      </c>
      <c r="D1099" s="1" t="s">
        <v>41</v>
      </c>
      <c r="E1099" s="5">
        <v>792</v>
      </c>
      <c r="F1099" s="1" t="s">
        <v>2579</v>
      </c>
    </row>
    <row r="1100" spans="1:6" x14ac:dyDescent="0.3">
      <c r="A1100" s="1" t="s">
        <v>2375</v>
      </c>
      <c r="B1100" s="13">
        <v>45399</v>
      </c>
      <c r="C1100" s="5" t="s">
        <v>1251</v>
      </c>
      <c r="D1100" s="1" t="s">
        <v>41</v>
      </c>
      <c r="E1100" s="5">
        <v>320</v>
      </c>
      <c r="F1100" s="1" t="s">
        <v>2580</v>
      </c>
    </row>
    <row r="1101" spans="1:6" x14ac:dyDescent="0.3">
      <c r="A1101" s="1" t="s">
        <v>2376</v>
      </c>
      <c r="B1101" s="13">
        <v>45400</v>
      </c>
      <c r="C1101" s="5" t="s">
        <v>1252</v>
      </c>
      <c r="D1101" s="1" t="s">
        <v>41</v>
      </c>
      <c r="E1101" s="5">
        <v>547</v>
      </c>
      <c r="F1101" s="1" t="s">
        <v>2581</v>
      </c>
    </row>
    <row r="1102" spans="1:6" x14ac:dyDescent="0.3">
      <c r="A1102" s="1" t="s">
        <v>2377</v>
      </c>
      <c r="B1102" s="13">
        <v>45401</v>
      </c>
      <c r="C1102" s="5" t="s">
        <v>1254</v>
      </c>
      <c r="D1102" s="1" t="s">
        <v>41</v>
      </c>
      <c r="E1102" s="5">
        <v>266</v>
      </c>
      <c r="F1102" s="1" t="s">
        <v>2582</v>
      </c>
    </row>
    <row r="1103" spans="1:6" x14ac:dyDescent="0.3">
      <c r="A1103" s="1" t="s">
        <v>2378</v>
      </c>
      <c r="B1103" s="13">
        <v>45402</v>
      </c>
      <c r="C1103" s="5" t="s">
        <v>1256</v>
      </c>
      <c r="D1103" s="1" t="s">
        <v>41</v>
      </c>
      <c r="E1103" s="5">
        <v>493</v>
      </c>
      <c r="F1103" s="1" t="s">
        <v>2583</v>
      </c>
    </row>
    <row r="1104" spans="1:6" x14ac:dyDescent="0.3">
      <c r="A1104" s="1" t="s">
        <v>2379</v>
      </c>
      <c r="B1104" s="13">
        <v>45403</v>
      </c>
      <c r="C1104" s="5" t="s">
        <v>1258</v>
      </c>
      <c r="D1104" s="1" t="s">
        <v>41</v>
      </c>
      <c r="E1104" s="5">
        <v>768</v>
      </c>
      <c r="F1104" s="1" t="s">
        <v>2584</v>
      </c>
    </row>
    <row r="1105" spans="1:6" x14ac:dyDescent="0.3">
      <c r="A1105" s="1" t="s">
        <v>2380</v>
      </c>
      <c r="B1105" s="13">
        <v>45404</v>
      </c>
      <c r="C1105" s="5" t="s">
        <v>1260</v>
      </c>
      <c r="D1105" s="1" t="s">
        <v>41</v>
      </c>
      <c r="E1105" s="5">
        <v>271</v>
      </c>
      <c r="F1105" s="1" t="s">
        <v>2585</v>
      </c>
    </row>
    <row r="1106" spans="1:6" x14ac:dyDescent="0.3">
      <c r="A1106" s="1" t="s">
        <v>2381</v>
      </c>
      <c r="B1106" s="13">
        <v>45405</v>
      </c>
      <c r="C1106" s="5" t="s">
        <v>1262</v>
      </c>
      <c r="D1106" s="1" t="s">
        <v>41</v>
      </c>
      <c r="E1106" s="5">
        <v>692</v>
      </c>
      <c r="F1106" s="1" t="s">
        <v>1027</v>
      </c>
    </row>
    <row r="1107" spans="1:6" x14ac:dyDescent="0.3">
      <c r="A1107" s="1" t="s">
        <v>2382</v>
      </c>
      <c r="B1107" s="13">
        <v>45406</v>
      </c>
      <c r="C1107" s="5" t="s">
        <v>1263</v>
      </c>
      <c r="D1107" s="1" t="s">
        <v>41</v>
      </c>
      <c r="E1107" s="5">
        <v>655</v>
      </c>
      <c r="F1107" s="1" t="s">
        <v>2586</v>
      </c>
    </row>
    <row r="1108" spans="1:6" x14ac:dyDescent="0.3">
      <c r="A1108" s="1" t="s">
        <v>2383</v>
      </c>
      <c r="B1108" s="13">
        <v>45407</v>
      </c>
      <c r="C1108" s="5" t="s">
        <v>1264</v>
      </c>
      <c r="D1108" s="1" t="s">
        <v>41</v>
      </c>
      <c r="E1108" s="5">
        <v>103</v>
      </c>
      <c r="F1108" s="1" t="s">
        <v>2587</v>
      </c>
    </row>
    <row r="1109" spans="1:6" x14ac:dyDescent="0.3">
      <c r="A1109" s="1" t="s">
        <v>2384</v>
      </c>
      <c r="B1109" s="13">
        <v>45408</v>
      </c>
      <c r="C1109" s="5" t="s">
        <v>1265</v>
      </c>
      <c r="D1109" s="1" t="s">
        <v>41</v>
      </c>
      <c r="E1109" s="5">
        <v>486</v>
      </c>
      <c r="F1109" s="1" t="s">
        <v>2588</v>
      </c>
    </row>
    <row r="1110" spans="1:6" x14ac:dyDescent="0.3">
      <c r="A1110" s="1" t="s">
        <v>2385</v>
      </c>
      <c r="B1110" s="13">
        <v>45409</v>
      </c>
      <c r="C1110" s="5" t="s">
        <v>1266</v>
      </c>
      <c r="D1110" s="1" t="s">
        <v>41</v>
      </c>
      <c r="E1110" s="5">
        <v>597</v>
      </c>
      <c r="F1110" s="1" t="s">
        <v>2589</v>
      </c>
    </row>
    <row r="1111" spans="1:6" x14ac:dyDescent="0.3">
      <c r="A1111" s="1" t="s">
        <v>2386</v>
      </c>
      <c r="B1111" s="13">
        <v>45410</v>
      </c>
      <c r="C1111" s="5" t="s">
        <v>1267</v>
      </c>
      <c r="D1111" s="1" t="s">
        <v>41</v>
      </c>
      <c r="E1111" s="5">
        <v>535</v>
      </c>
      <c r="F1111" s="1" t="s">
        <v>2590</v>
      </c>
    </row>
    <row r="1112" spans="1:6" x14ac:dyDescent="0.3">
      <c r="A1112" s="5" t="s">
        <v>2387</v>
      </c>
      <c r="B1112" s="13">
        <v>45411</v>
      </c>
      <c r="C1112" s="5" t="s">
        <v>1268</v>
      </c>
      <c r="D1112" s="1" t="s">
        <v>41</v>
      </c>
      <c r="E1112" s="5">
        <v>224</v>
      </c>
      <c r="F1112" s="1" t="s">
        <v>2591</v>
      </c>
    </row>
  </sheetData>
  <phoneticPr fontId="3" type="noConversion"/>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D643C3-EFFE-454B-9E5F-6FFF8DD0083B}">
  <sheetPr>
    <tabColor theme="9" tint="0.39997558519241921"/>
  </sheetPr>
  <dimension ref="A1:G131"/>
  <sheetViews>
    <sheetView zoomScale="85" workbookViewId="0">
      <selection activeCell="A2" sqref="A2"/>
    </sheetView>
  </sheetViews>
  <sheetFormatPr defaultRowHeight="14.4" x14ac:dyDescent="0.3"/>
  <cols>
    <col min="1" max="1" width="12.109375" customWidth="1"/>
    <col min="2" max="2" width="22.21875" customWidth="1"/>
    <col min="3" max="3" width="22.5546875" customWidth="1"/>
    <col min="4" max="4" width="20.109375" customWidth="1"/>
    <col min="5" max="5" width="21.109375" customWidth="1"/>
    <col min="6" max="6" width="17.77734375" customWidth="1"/>
    <col min="7" max="7" width="68.109375" customWidth="1"/>
  </cols>
  <sheetData>
    <row r="1" spans="1:7" x14ac:dyDescent="0.3">
      <c r="A1" s="14" t="s">
        <v>1033</v>
      </c>
      <c r="B1" s="15" t="s">
        <v>1034</v>
      </c>
      <c r="C1" s="15" t="s">
        <v>1</v>
      </c>
      <c r="D1" s="15" t="s">
        <v>1035</v>
      </c>
      <c r="E1" s="15" t="s">
        <v>3</v>
      </c>
      <c r="F1" s="15" t="s">
        <v>1036</v>
      </c>
      <c r="G1" s="16" t="s">
        <v>1037</v>
      </c>
    </row>
    <row r="2" spans="1:7" x14ac:dyDescent="0.3">
      <c r="A2" s="3" t="s">
        <v>1083</v>
      </c>
      <c r="B2" s="1" t="s">
        <v>1053</v>
      </c>
      <c r="C2" s="1" t="s">
        <v>2416</v>
      </c>
      <c r="D2" s="1">
        <f>SUMIFS(tbl_Transactions[Quantity],tbl_Transactions[Product ID], A2,tbl_Transactions[Transaction Type],"IN")-SUMIFS(tbl_Transactions[Quantity],tbl_Transactions[Product ID], A2,tbl_Transactions[Transaction Type],"OUT")</f>
        <v>421</v>
      </c>
      <c r="E2" s="2">
        <v>1.86</v>
      </c>
      <c r="F2" s="2">
        <f t="shared" ref="F2:F33" si="0">IFERROR(D2*E2,0)</f>
        <v>783.06000000000006</v>
      </c>
      <c r="G2" s="20" t="str">
        <f t="shared" ref="G2:G33" si="1">IF(D2&lt;=0,"Out of Stock",IF(D2&lt;100,"Low Stock","OK"))</f>
        <v>OK</v>
      </c>
    </row>
    <row r="3" spans="1:7" x14ac:dyDescent="0.3">
      <c r="A3" s="3" t="s">
        <v>1085</v>
      </c>
      <c r="B3" s="1" t="s">
        <v>1041</v>
      </c>
      <c r="C3" s="1" t="s">
        <v>2417</v>
      </c>
      <c r="D3" s="1">
        <f>SUMIFS(tbl_Transactions[Quantity],tbl_Transactions[Product ID], A3,tbl_Transactions[Transaction Type],"IN")-SUMIFS(tbl_Transactions[Quantity],tbl_Transactions[Product ID], A3,tbl_Transactions[Transaction Type],"OUT")</f>
        <v>628</v>
      </c>
      <c r="E3" s="2">
        <v>12.79</v>
      </c>
      <c r="F3" s="2">
        <f t="shared" si="0"/>
        <v>8032.12</v>
      </c>
      <c r="G3" s="20" t="str">
        <f t="shared" si="1"/>
        <v>OK</v>
      </c>
    </row>
    <row r="4" spans="1:7" x14ac:dyDescent="0.3">
      <c r="A4" s="3" t="s">
        <v>1087</v>
      </c>
      <c r="B4" s="1" t="s">
        <v>1042</v>
      </c>
      <c r="C4" s="1" t="s">
        <v>4</v>
      </c>
      <c r="D4" s="1">
        <f>SUMIFS(tbl_Transactions[Quantity],tbl_Transactions[Product ID], A4,tbl_Transactions[Transaction Type],"IN")-SUMIFS(tbl_Transactions[Quantity],tbl_Transactions[Product ID], A4,tbl_Transactions[Transaction Type],"OUT")</f>
        <v>463</v>
      </c>
      <c r="E4" s="2">
        <v>10.029999999999999</v>
      </c>
      <c r="F4" s="2">
        <f t="shared" si="0"/>
        <v>4643.8899999999994</v>
      </c>
      <c r="G4" s="20" t="str">
        <f t="shared" si="1"/>
        <v>OK</v>
      </c>
    </row>
    <row r="5" spans="1:7" x14ac:dyDescent="0.3">
      <c r="A5" s="3" t="s">
        <v>1089</v>
      </c>
      <c r="B5" s="1" t="s">
        <v>5</v>
      </c>
      <c r="C5" s="1" t="s">
        <v>2416</v>
      </c>
      <c r="D5" s="1">
        <f>SUMIFS(tbl_Transactions[Quantity],tbl_Transactions[Product ID], A5,tbl_Transactions[Transaction Type],"IN")-SUMIFS(tbl_Transactions[Quantity],tbl_Transactions[Product ID], A5,tbl_Transactions[Transaction Type],"OUT")</f>
        <v>673</v>
      </c>
      <c r="E5" s="2">
        <v>4.25</v>
      </c>
      <c r="F5" s="2">
        <f t="shared" si="0"/>
        <v>2860.25</v>
      </c>
      <c r="G5" s="20" t="str">
        <f t="shared" si="1"/>
        <v>OK</v>
      </c>
    </row>
    <row r="6" spans="1:7" x14ac:dyDescent="0.3">
      <c r="A6" s="3" t="s">
        <v>1090</v>
      </c>
      <c r="B6" s="1" t="s">
        <v>6</v>
      </c>
      <c r="C6" s="1" t="s">
        <v>2416</v>
      </c>
      <c r="D6" s="1">
        <f>SUMIFS(tbl_Transactions[Quantity],tbl_Transactions[Product ID], A6,tbl_Transactions[Transaction Type],"IN")-SUMIFS(tbl_Transactions[Quantity],tbl_Transactions[Product ID], A6,tbl_Transactions[Transaction Type],"OUT")</f>
        <v>105</v>
      </c>
      <c r="E6" s="2">
        <v>2.69</v>
      </c>
      <c r="F6" s="2">
        <f t="shared" si="0"/>
        <v>282.45</v>
      </c>
      <c r="G6" s="20" t="str">
        <f t="shared" si="1"/>
        <v>OK</v>
      </c>
    </row>
    <row r="7" spans="1:7" x14ac:dyDescent="0.3">
      <c r="A7" s="3" t="s">
        <v>1091</v>
      </c>
      <c r="B7" s="1" t="s">
        <v>7</v>
      </c>
      <c r="C7" s="1" t="s">
        <v>2416</v>
      </c>
      <c r="D7" s="1">
        <f>SUMIFS(tbl_Transactions[Quantity],tbl_Transactions[Product ID], A7,tbl_Transactions[Transaction Type],"IN")-SUMIFS(tbl_Transactions[Quantity],tbl_Transactions[Product ID], A7,tbl_Transactions[Transaction Type],"OUT")</f>
        <v>0</v>
      </c>
      <c r="E7" s="2">
        <v>3.15</v>
      </c>
      <c r="F7" s="2">
        <f t="shared" si="0"/>
        <v>0</v>
      </c>
      <c r="G7" s="20" t="str">
        <f t="shared" si="1"/>
        <v>Out of Stock</v>
      </c>
    </row>
    <row r="8" spans="1:7" x14ac:dyDescent="0.3">
      <c r="A8" s="3" t="s">
        <v>1093</v>
      </c>
      <c r="B8" s="1" t="s">
        <v>1043</v>
      </c>
      <c r="C8" s="1" t="s">
        <v>2418</v>
      </c>
      <c r="D8" s="1">
        <f>SUMIFS(tbl_Transactions[Quantity],tbl_Transactions[Product ID], A8,tbl_Transactions[Transaction Type],"IN")-SUMIFS(tbl_Transactions[Quantity],tbl_Transactions[Product ID], A8,tbl_Transactions[Transaction Type],"OUT")</f>
        <v>714</v>
      </c>
      <c r="E8" s="2">
        <v>4.82</v>
      </c>
      <c r="F8" s="2">
        <f t="shared" si="0"/>
        <v>3441.48</v>
      </c>
      <c r="G8" s="20" t="str">
        <f t="shared" si="1"/>
        <v>OK</v>
      </c>
    </row>
    <row r="9" spans="1:7" x14ac:dyDescent="0.3">
      <c r="A9" s="3" t="s">
        <v>1095</v>
      </c>
      <c r="B9" s="1" t="s">
        <v>8</v>
      </c>
      <c r="C9" s="1" t="s">
        <v>9</v>
      </c>
      <c r="D9" s="1">
        <f>SUMIFS(tbl_Transactions[Quantity],tbl_Transactions[Product ID], A9,tbl_Transactions[Transaction Type],"IN")-SUMIFS(tbl_Transactions[Quantity],tbl_Transactions[Product ID], A9,tbl_Transactions[Transaction Type],"OUT")</f>
        <v>314</v>
      </c>
      <c r="E9" s="2">
        <v>32.450000000000003</v>
      </c>
      <c r="F9" s="2">
        <f t="shared" si="0"/>
        <v>10189.300000000001</v>
      </c>
      <c r="G9" s="20" t="str">
        <f t="shared" si="1"/>
        <v>OK</v>
      </c>
    </row>
    <row r="10" spans="1:7" x14ac:dyDescent="0.3">
      <c r="A10" s="3" t="s">
        <v>1097</v>
      </c>
      <c r="B10" s="1" t="s">
        <v>10</v>
      </c>
      <c r="C10" s="1" t="s">
        <v>4</v>
      </c>
      <c r="D10" s="1">
        <f>SUMIFS(tbl_Transactions[Quantity],tbl_Transactions[Product ID], A10,tbl_Transactions[Transaction Type],"IN")-SUMIFS(tbl_Transactions[Quantity],tbl_Transactions[Product ID], A10,tbl_Transactions[Transaction Type],"OUT")</f>
        <v>567</v>
      </c>
      <c r="E10" s="2">
        <v>12.5</v>
      </c>
      <c r="F10" s="2">
        <f t="shared" si="0"/>
        <v>7087.5</v>
      </c>
      <c r="G10" s="20" t="str">
        <f t="shared" si="1"/>
        <v>OK</v>
      </c>
    </row>
    <row r="11" spans="1:7" x14ac:dyDescent="0.3">
      <c r="A11" s="3" t="s">
        <v>1099</v>
      </c>
      <c r="B11" s="1" t="s">
        <v>11</v>
      </c>
      <c r="C11" s="1" t="s">
        <v>4</v>
      </c>
      <c r="D11" s="1">
        <f>SUMIFS(tbl_Transactions[Quantity],tbl_Transactions[Product ID], A11,tbl_Transactions[Transaction Type],"IN")-SUMIFS(tbl_Transactions[Quantity],tbl_Transactions[Product ID], A11,tbl_Transactions[Transaction Type],"OUT")</f>
        <v>206</v>
      </c>
      <c r="E11" s="2">
        <v>4.75</v>
      </c>
      <c r="F11" s="2">
        <f t="shared" si="0"/>
        <v>978.5</v>
      </c>
      <c r="G11" s="20" t="str">
        <f t="shared" si="1"/>
        <v>OK</v>
      </c>
    </row>
    <row r="12" spans="1:7" x14ac:dyDescent="0.3">
      <c r="A12" s="3" t="s">
        <v>1101</v>
      </c>
      <c r="B12" s="1" t="s">
        <v>1044</v>
      </c>
      <c r="C12" s="1" t="s">
        <v>4</v>
      </c>
      <c r="D12" s="1">
        <f>SUMIFS(tbl_Transactions[Quantity],tbl_Transactions[Product ID], A12,tbl_Transactions[Transaction Type],"IN")-SUMIFS(tbl_Transactions[Quantity],tbl_Transactions[Product ID], A12,tbl_Transactions[Transaction Type],"OUT")</f>
        <v>311</v>
      </c>
      <c r="E12" s="2">
        <v>8.9</v>
      </c>
      <c r="F12" s="2">
        <f t="shared" si="0"/>
        <v>2767.9</v>
      </c>
      <c r="G12" s="20" t="str">
        <f t="shared" si="1"/>
        <v>OK</v>
      </c>
    </row>
    <row r="13" spans="1:7" x14ac:dyDescent="0.3">
      <c r="A13" s="3" t="s">
        <v>1102</v>
      </c>
      <c r="B13" s="1" t="s">
        <v>1045</v>
      </c>
      <c r="C13" s="1" t="s">
        <v>2417</v>
      </c>
      <c r="D13" s="1">
        <f>SUMIFS(tbl_Transactions[Quantity],tbl_Transactions[Product ID], A13,tbl_Transactions[Transaction Type],"IN")-SUMIFS(tbl_Transactions[Quantity],tbl_Transactions[Product ID], A13,tbl_Transactions[Transaction Type],"OUT")</f>
        <v>0</v>
      </c>
      <c r="E13" s="2">
        <v>22.3</v>
      </c>
      <c r="F13" s="2">
        <f t="shared" si="0"/>
        <v>0</v>
      </c>
      <c r="G13" s="20" t="str">
        <f t="shared" si="1"/>
        <v>Out of Stock</v>
      </c>
    </row>
    <row r="14" spans="1:7" x14ac:dyDescent="0.3">
      <c r="A14" s="3" t="s">
        <v>1104</v>
      </c>
      <c r="B14" s="1" t="s">
        <v>12</v>
      </c>
      <c r="C14" s="1" t="s">
        <v>2416</v>
      </c>
      <c r="D14" s="1">
        <f>SUMIFS(tbl_Transactions[Quantity],tbl_Transactions[Product ID], A14,tbl_Transactions[Transaction Type],"IN")-SUMIFS(tbl_Transactions[Quantity],tbl_Transactions[Product ID], A14,tbl_Transactions[Transaction Type],"OUT")</f>
        <v>394</v>
      </c>
      <c r="E14" s="2">
        <v>2.4</v>
      </c>
      <c r="F14" s="2">
        <f t="shared" si="0"/>
        <v>945.59999999999991</v>
      </c>
      <c r="G14" s="20" t="str">
        <f t="shared" si="1"/>
        <v>OK</v>
      </c>
    </row>
    <row r="15" spans="1:7" x14ac:dyDescent="0.3">
      <c r="A15" s="3" t="s">
        <v>1106</v>
      </c>
      <c r="B15" s="1" t="s">
        <v>1046</v>
      </c>
      <c r="C15" s="1" t="s">
        <v>13</v>
      </c>
      <c r="D15" s="1">
        <f>SUMIFS(tbl_Transactions[Quantity],tbl_Transactions[Product ID], A15,tbl_Transactions[Transaction Type],"IN")-SUMIFS(tbl_Transactions[Quantity],tbl_Transactions[Product ID], A15,tbl_Transactions[Transaction Type],"OUT")</f>
        <v>144</v>
      </c>
      <c r="E15" s="2">
        <v>3.5</v>
      </c>
      <c r="F15" s="2">
        <f t="shared" si="0"/>
        <v>504</v>
      </c>
      <c r="G15" s="20" t="str">
        <f t="shared" si="1"/>
        <v>OK</v>
      </c>
    </row>
    <row r="16" spans="1:7" x14ac:dyDescent="0.3">
      <c r="A16" s="3" t="s">
        <v>1108</v>
      </c>
      <c r="B16" s="1" t="s">
        <v>14</v>
      </c>
      <c r="C16" s="1" t="s">
        <v>2416</v>
      </c>
      <c r="D16" s="1">
        <f>SUMIFS(tbl_Transactions[Quantity],tbl_Transactions[Product ID], A16,tbl_Transactions[Transaction Type],"IN")-SUMIFS(tbl_Transactions[Quantity],tbl_Transactions[Product ID], A16,tbl_Transactions[Transaction Type],"OUT")</f>
        <v>967</v>
      </c>
      <c r="E16" s="2">
        <v>2.1</v>
      </c>
      <c r="F16" s="2">
        <f t="shared" si="0"/>
        <v>2030.7</v>
      </c>
      <c r="G16" s="20" t="str">
        <f t="shared" si="1"/>
        <v>OK</v>
      </c>
    </row>
    <row r="17" spans="1:7" x14ac:dyDescent="0.3">
      <c r="A17" s="3" t="s">
        <v>1109</v>
      </c>
      <c r="B17" s="1" t="s">
        <v>15</v>
      </c>
      <c r="C17" s="1" t="s">
        <v>2416</v>
      </c>
      <c r="D17" s="1">
        <f>SUMIFS(tbl_Transactions[Quantity],tbl_Transactions[Product ID], A17,tbl_Transactions[Transaction Type],"IN")-SUMIFS(tbl_Transactions[Quantity],tbl_Transactions[Product ID], A17,tbl_Transactions[Transaction Type],"OUT")</f>
        <v>369</v>
      </c>
      <c r="E17" s="2">
        <v>3.8</v>
      </c>
      <c r="F17" s="2">
        <f t="shared" si="0"/>
        <v>1402.2</v>
      </c>
      <c r="G17" s="20" t="str">
        <f t="shared" si="1"/>
        <v>OK</v>
      </c>
    </row>
    <row r="18" spans="1:7" x14ac:dyDescent="0.3">
      <c r="A18" s="3" t="s">
        <v>1110</v>
      </c>
      <c r="B18" s="1" t="s">
        <v>1047</v>
      </c>
      <c r="C18" s="1" t="s">
        <v>4</v>
      </c>
      <c r="D18" s="1">
        <f>SUMIFS(tbl_Transactions[Quantity],tbl_Transactions[Product ID], A18,tbl_Transactions[Transaction Type],"IN")-SUMIFS(tbl_Transactions[Quantity],tbl_Transactions[Product ID], A18,tbl_Transactions[Transaction Type],"OUT")</f>
        <v>604</v>
      </c>
      <c r="E18" s="2">
        <v>6.5</v>
      </c>
      <c r="F18" s="2">
        <f t="shared" si="0"/>
        <v>3926</v>
      </c>
      <c r="G18" s="20" t="str">
        <f t="shared" si="1"/>
        <v>OK</v>
      </c>
    </row>
    <row r="19" spans="1:7" x14ac:dyDescent="0.3">
      <c r="A19" s="3" t="s">
        <v>1111</v>
      </c>
      <c r="B19" s="1" t="s">
        <v>1048</v>
      </c>
      <c r="C19" s="1" t="s">
        <v>4</v>
      </c>
      <c r="D19" s="1">
        <f>SUMIFS(tbl_Transactions[Quantity],tbl_Transactions[Product ID], A19,tbl_Transactions[Transaction Type],"IN")-SUMIFS(tbl_Transactions[Quantity],tbl_Transactions[Product ID], A19,tbl_Transactions[Transaction Type],"OUT")</f>
        <v>107</v>
      </c>
      <c r="E19" s="2">
        <v>9.1999999999999993</v>
      </c>
      <c r="F19" s="2">
        <f t="shared" si="0"/>
        <v>984.4</v>
      </c>
      <c r="G19" s="20" t="str">
        <f t="shared" si="1"/>
        <v>OK</v>
      </c>
    </row>
    <row r="20" spans="1:7" x14ac:dyDescent="0.3">
      <c r="A20" s="3" t="s">
        <v>1112</v>
      </c>
      <c r="B20" s="1" t="s">
        <v>16</v>
      </c>
      <c r="C20" s="1" t="s">
        <v>2416</v>
      </c>
      <c r="D20" s="1">
        <f>SUMIFS(tbl_Transactions[Quantity],tbl_Transactions[Product ID], A20,tbl_Transactions[Transaction Type],"IN")-SUMIFS(tbl_Transactions[Quantity],tbl_Transactions[Product ID], A20,tbl_Transactions[Transaction Type],"OUT")</f>
        <v>451</v>
      </c>
      <c r="E20" s="2">
        <v>2.75</v>
      </c>
      <c r="F20" s="2">
        <f t="shared" si="0"/>
        <v>1240.25</v>
      </c>
      <c r="G20" s="20" t="str">
        <f t="shared" si="1"/>
        <v>OK</v>
      </c>
    </row>
    <row r="21" spans="1:7" x14ac:dyDescent="0.3">
      <c r="A21" s="3" t="s">
        <v>1113</v>
      </c>
      <c r="B21" s="1" t="s">
        <v>1054</v>
      </c>
      <c r="C21" s="1" t="s">
        <v>2418</v>
      </c>
      <c r="D21" s="1">
        <f>SUMIFS(tbl_Transactions[Quantity],tbl_Transactions[Product ID], A21,tbl_Transactions[Transaction Type],"IN")-SUMIFS(tbl_Transactions[Quantity],tbl_Transactions[Product ID], A21,tbl_Transactions[Transaction Type],"OUT")</f>
        <v>296</v>
      </c>
      <c r="E21" s="2">
        <v>5.4</v>
      </c>
      <c r="F21" s="2">
        <f t="shared" si="0"/>
        <v>1598.4</v>
      </c>
      <c r="G21" s="20" t="str">
        <f t="shared" si="1"/>
        <v>OK</v>
      </c>
    </row>
    <row r="22" spans="1:7" x14ac:dyDescent="0.3">
      <c r="A22" s="3" t="s">
        <v>1115</v>
      </c>
      <c r="B22" s="1" t="s">
        <v>18</v>
      </c>
      <c r="C22" s="1" t="s">
        <v>9</v>
      </c>
      <c r="D22" s="1">
        <f>SUMIFS(tbl_Transactions[Quantity],tbl_Transactions[Product ID], A22,tbl_Transactions[Transaction Type],"IN")-SUMIFS(tbl_Transactions[Quantity],tbl_Transactions[Product ID], A22,tbl_Transactions[Transaction Type],"OUT")</f>
        <v>354</v>
      </c>
      <c r="E22" s="2">
        <v>15.6</v>
      </c>
      <c r="F22" s="2">
        <f t="shared" si="0"/>
        <v>5522.4</v>
      </c>
      <c r="G22" s="20" t="str">
        <f t="shared" si="1"/>
        <v>OK</v>
      </c>
    </row>
    <row r="23" spans="1:7" x14ac:dyDescent="0.3">
      <c r="A23" s="3" t="s">
        <v>1117</v>
      </c>
      <c r="B23" s="1" t="s">
        <v>1118</v>
      </c>
      <c r="C23" s="1" t="s">
        <v>2417</v>
      </c>
      <c r="D23" s="1">
        <f>SUMIFS(tbl_Transactions[Quantity],tbl_Transactions[Product ID], A23,tbl_Transactions[Transaction Type],"IN")-SUMIFS(tbl_Transactions[Quantity],tbl_Transactions[Product ID], A23,tbl_Transactions[Transaction Type],"OUT")</f>
        <v>403</v>
      </c>
      <c r="E23" s="2">
        <v>18.399999999999999</v>
      </c>
      <c r="F23" s="2">
        <f t="shared" si="0"/>
        <v>7415.2</v>
      </c>
      <c r="G23" s="20" t="str">
        <f t="shared" si="1"/>
        <v>OK</v>
      </c>
    </row>
    <row r="24" spans="1:7" x14ac:dyDescent="0.3">
      <c r="A24" s="3" t="s">
        <v>1120</v>
      </c>
      <c r="B24" s="1" t="s">
        <v>1121</v>
      </c>
      <c r="C24" s="1" t="s">
        <v>4</v>
      </c>
      <c r="D24" s="1">
        <f>SUMIFS(tbl_Transactions[Quantity],tbl_Transactions[Product ID], A24,tbl_Transactions[Transaction Type],"IN")-SUMIFS(tbl_Transactions[Quantity],tbl_Transactions[Product ID], A24,tbl_Transactions[Transaction Type],"OUT")</f>
        <v>697</v>
      </c>
      <c r="E24" s="2">
        <v>4.2</v>
      </c>
      <c r="F24" s="2">
        <f t="shared" si="0"/>
        <v>2927.4</v>
      </c>
      <c r="G24" s="20" t="str">
        <f t="shared" si="1"/>
        <v>OK</v>
      </c>
    </row>
    <row r="25" spans="1:7" x14ac:dyDescent="0.3">
      <c r="A25" s="3" t="s">
        <v>1122</v>
      </c>
      <c r="B25" s="1" t="s">
        <v>35</v>
      </c>
      <c r="C25" s="1" t="s">
        <v>2416</v>
      </c>
      <c r="D25" s="1">
        <f>SUMIFS(tbl_Transactions[Quantity],tbl_Transactions[Product ID], A25,tbl_Transactions[Transaction Type],"IN")-SUMIFS(tbl_Transactions[Quantity],tbl_Transactions[Product ID], A25,tbl_Transactions[Transaction Type],"OUT")</f>
        <v>491</v>
      </c>
      <c r="E25" s="2">
        <v>2.9</v>
      </c>
      <c r="F25" s="2">
        <f t="shared" si="0"/>
        <v>1423.8999999999999</v>
      </c>
      <c r="G25" s="20" t="str">
        <f t="shared" si="1"/>
        <v>OK</v>
      </c>
    </row>
    <row r="26" spans="1:7" x14ac:dyDescent="0.3">
      <c r="A26" s="3" t="s">
        <v>1123</v>
      </c>
      <c r="B26" s="1" t="s">
        <v>1124</v>
      </c>
      <c r="C26" s="1" t="s">
        <v>13</v>
      </c>
      <c r="D26" s="1">
        <f>SUMIFS(tbl_Transactions[Quantity],tbl_Transactions[Product ID], A26,tbl_Transactions[Transaction Type],"IN")-SUMIFS(tbl_Transactions[Quantity],tbl_Transactions[Product ID], A26,tbl_Transactions[Transaction Type],"OUT")</f>
        <v>425</v>
      </c>
      <c r="E26" s="2">
        <v>5.0999999999999996</v>
      </c>
      <c r="F26" s="2">
        <f t="shared" si="0"/>
        <v>2167.5</v>
      </c>
      <c r="G26" s="20" t="str">
        <f t="shared" si="1"/>
        <v>OK</v>
      </c>
    </row>
    <row r="27" spans="1:7" x14ac:dyDescent="0.3">
      <c r="A27" s="3" t="s">
        <v>1126</v>
      </c>
      <c r="B27" s="1" t="s">
        <v>1127</v>
      </c>
      <c r="C27" s="1" t="s">
        <v>9</v>
      </c>
      <c r="D27" s="1">
        <f>SUMIFS(tbl_Transactions[Quantity],tbl_Transactions[Product ID], A27,tbl_Transactions[Transaction Type],"IN")-SUMIFS(tbl_Transactions[Quantity],tbl_Transactions[Product ID], A27,tbl_Transactions[Transaction Type],"OUT")</f>
        <v>414</v>
      </c>
      <c r="E27" s="2">
        <v>38.200000000000003</v>
      </c>
      <c r="F27" s="2">
        <f t="shared" si="0"/>
        <v>15814.800000000001</v>
      </c>
      <c r="G27" s="20" t="str">
        <f t="shared" si="1"/>
        <v>OK</v>
      </c>
    </row>
    <row r="28" spans="1:7" x14ac:dyDescent="0.3">
      <c r="A28" s="3" t="s">
        <v>1129</v>
      </c>
      <c r="B28" s="1" t="s">
        <v>37</v>
      </c>
      <c r="C28" s="1" t="s">
        <v>9</v>
      </c>
      <c r="D28" s="1">
        <f>SUMIFS(tbl_Transactions[Quantity],tbl_Transactions[Product ID], A28,tbl_Transactions[Transaction Type],"IN")-SUMIFS(tbl_Transactions[Quantity],tbl_Transactions[Product ID], A28,tbl_Transactions[Transaction Type],"OUT")</f>
        <v>299</v>
      </c>
      <c r="E28" s="2">
        <v>22.5</v>
      </c>
      <c r="F28" s="2">
        <f t="shared" si="0"/>
        <v>6727.5</v>
      </c>
      <c r="G28" s="20" t="str">
        <f t="shared" si="1"/>
        <v>OK</v>
      </c>
    </row>
    <row r="29" spans="1:7" x14ac:dyDescent="0.3">
      <c r="A29" s="3" t="s">
        <v>1130</v>
      </c>
      <c r="B29" s="1" t="s">
        <v>1131</v>
      </c>
      <c r="C29" s="1" t="s">
        <v>13</v>
      </c>
      <c r="D29" s="1">
        <f>SUMIFS(tbl_Transactions[Quantity],tbl_Transactions[Product ID], A29,tbl_Transactions[Transaction Type],"IN")-SUMIFS(tbl_Transactions[Quantity],tbl_Transactions[Product ID], A29,tbl_Transactions[Transaction Type],"OUT")</f>
        <v>908</v>
      </c>
      <c r="E29" s="2">
        <v>2.2000000000000002</v>
      </c>
      <c r="F29" s="2">
        <f t="shared" si="0"/>
        <v>1997.6000000000001</v>
      </c>
      <c r="G29" s="20" t="str">
        <f t="shared" si="1"/>
        <v>OK</v>
      </c>
    </row>
    <row r="30" spans="1:7" x14ac:dyDescent="0.3">
      <c r="A30" s="3" t="s">
        <v>1132</v>
      </c>
      <c r="B30" s="1" t="s">
        <v>1079</v>
      </c>
      <c r="C30" s="1" t="s">
        <v>17</v>
      </c>
      <c r="D30" s="1">
        <f>SUMIFS(tbl_Transactions[Quantity],tbl_Transactions[Product ID], A30,tbl_Transactions[Transaction Type],"IN")-SUMIFS(tbl_Transactions[Quantity],tbl_Transactions[Product ID], A30,tbl_Transactions[Transaction Type],"OUT")</f>
        <v>726</v>
      </c>
      <c r="E30" s="2">
        <v>12.4</v>
      </c>
      <c r="F30" s="2">
        <f t="shared" si="0"/>
        <v>9002.4</v>
      </c>
      <c r="G30" s="20" t="str">
        <f t="shared" si="1"/>
        <v>OK</v>
      </c>
    </row>
    <row r="31" spans="1:7" x14ac:dyDescent="0.3">
      <c r="A31" s="3" t="s">
        <v>1134</v>
      </c>
      <c r="B31" s="1" t="s">
        <v>1135</v>
      </c>
      <c r="C31" s="1" t="s">
        <v>9</v>
      </c>
      <c r="D31" s="1">
        <f>SUMIFS(tbl_Transactions[Quantity],tbl_Transactions[Product ID], A31,tbl_Transactions[Transaction Type],"IN")-SUMIFS(tbl_Transactions[Quantity],tbl_Transactions[Product ID], A31,tbl_Transactions[Transaction Type],"OUT")</f>
        <v>279</v>
      </c>
      <c r="E31" s="2">
        <v>44.9</v>
      </c>
      <c r="F31" s="2">
        <f t="shared" si="0"/>
        <v>12527.1</v>
      </c>
      <c r="G31" s="20" t="str">
        <f t="shared" si="1"/>
        <v>OK</v>
      </c>
    </row>
    <row r="32" spans="1:7" x14ac:dyDescent="0.3">
      <c r="A32" s="3" t="s">
        <v>1136</v>
      </c>
      <c r="B32" s="1" t="s">
        <v>1064</v>
      </c>
      <c r="C32" s="1" t="s">
        <v>13</v>
      </c>
      <c r="D32" s="1">
        <f>SUMIFS(tbl_Transactions[Quantity],tbl_Transactions[Product ID], A32,tbl_Transactions[Transaction Type],"IN")-SUMIFS(tbl_Transactions[Quantity],tbl_Transactions[Product ID], A32,tbl_Transactions[Transaction Type],"OUT")</f>
        <v>764</v>
      </c>
      <c r="E32" s="2">
        <v>4.5</v>
      </c>
      <c r="F32" s="2">
        <f t="shared" si="0"/>
        <v>3438</v>
      </c>
      <c r="G32" s="20" t="str">
        <f t="shared" si="1"/>
        <v>OK</v>
      </c>
    </row>
    <row r="33" spans="1:7" x14ac:dyDescent="0.3">
      <c r="A33" s="3" t="s">
        <v>1138</v>
      </c>
      <c r="B33" s="1" t="s">
        <v>1139</v>
      </c>
      <c r="C33" s="1" t="s">
        <v>2418</v>
      </c>
      <c r="D33" s="1">
        <f>SUMIFS(tbl_Transactions[Quantity],tbl_Transactions[Product ID], A33,tbl_Transactions[Transaction Type],"IN")-SUMIFS(tbl_Transactions[Quantity],tbl_Transactions[Product ID], A33,tbl_Transactions[Transaction Type],"OUT")</f>
        <v>424</v>
      </c>
      <c r="E33" s="2">
        <v>3.2</v>
      </c>
      <c r="F33" s="2">
        <f t="shared" si="0"/>
        <v>1356.8000000000002</v>
      </c>
      <c r="G33" s="20" t="str">
        <f t="shared" si="1"/>
        <v>OK</v>
      </c>
    </row>
    <row r="34" spans="1:7" x14ac:dyDescent="0.3">
      <c r="A34" s="3" t="s">
        <v>1141</v>
      </c>
      <c r="B34" s="1" t="s">
        <v>1063</v>
      </c>
      <c r="C34" s="1" t="s">
        <v>4</v>
      </c>
      <c r="D34" s="1">
        <f>SUMIFS(tbl_Transactions[Quantity],tbl_Transactions[Product ID], A34,tbl_Transactions[Transaction Type],"IN")-SUMIFS(tbl_Transactions[Quantity],tbl_Transactions[Product ID], A34,tbl_Transactions[Transaction Type],"OUT")</f>
        <v>122</v>
      </c>
      <c r="E34" s="2">
        <v>5.8</v>
      </c>
      <c r="F34" s="2">
        <f t="shared" ref="F34:F65" si="2">IFERROR(D34*E34,0)</f>
        <v>707.6</v>
      </c>
      <c r="G34" s="20" t="str">
        <f t="shared" ref="G34:G65" si="3">IF(D34&lt;=0,"Out of Stock",IF(D34&lt;100,"Low Stock","OK"))</f>
        <v>OK</v>
      </c>
    </row>
    <row r="35" spans="1:7" x14ac:dyDescent="0.3">
      <c r="A35" s="3" t="s">
        <v>1142</v>
      </c>
      <c r="B35" s="1" t="s">
        <v>1143</v>
      </c>
      <c r="C35" s="1" t="s">
        <v>17</v>
      </c>
      <c r="D35" s="1">
        <f>SUMIFS(tbl_Transactions[Quantity],tbl_Transactions[Product ID], A35,tbl_Transactions[Transaction Type],"IN")-SUMIFS(tbl_Transactions[Quantity],tbl_Transactions[Product ID], A35,tbl_Transactions[Transaction Type],"OUT")</f>
        <v>182</v>
      </c>
      <c r="E35" s="2">
        <v>2.5</v>
      </c>
      <c r="F35" s="2">
        <f t="shared" si="2"/>
        <v>455</v>
      </c>
      <c r="G35" s="20" t="str">
        <f t="shared" si="3"/>
        <v>OK</v>
      </c>
    </row>
    <row r="36" spans="1:7" x14ac:dyDescent="0.3">
      <c r="A36" s="3" t="s">
        <v>1145</v>
      </c>
      <c r="B36" s="1" t="s">
        <v>36</v>
      </c>
      <c r="C36" s="1" t="s">
        <v>4</v>
      </c>
      <c r="D36" s="1">
        <f>SUMIFS(tbl_Transactions[Quantity],tbl_Transactions[Product ID], A36,tbl_Transactions[Transaction Type],"IN")-SUMIFS(tbl_Transactions[Quantity],tbl_Transactions[Product ID], A36,tbl_Transactions[Transaction Type],"OUT")</f>
        <v>541</v>
      </c>
      <c r="E36" s="2">
        <v>7.1</v>
      </c>
      <c r="F36" s="2">
        <f t="shared" si="2"/>
        <v>3841.1</v>
      </c>
      <c r="G36" s="20" t="str">
        <f t="shared" si="3"/>
        <v>OK</v>
      </c>
    </row>
    <row r="37" spans="1:7" x14ac:dyDescent="0.3">
      <c r="A37" s="3" t="s">
        <v>1146</v>
      </c>
      <c r="B37" s="1" t="s">
        <v>34</v>
      </c>
      <c r="C37" s="1" t="s">
        <v>9</v>
      </c>
      <c r="D37" s="1">
        <f>SUMIFS(tbl_Transactions[Quantity],tbl_Transactions[Product ID], A37,tbl_Transactions[Transaction Type],"IN")-SUMIFS(tbl_Transactions[Quantity],tbl_Transactions[Product ID], A37,tbl_Transactions[Transaction Type],"OUT")</f>
        <v>536</v>
      </c>
      <c r="E37" s="2">
        <v>28.5</v>
      </c>
      <c r="F37" s="2">
        <f t="shared" si="2"/>
        <v>15276</v>
      </c>
      <c r="G37" s="20" t="str">
        <f t="shared" si="3"/>
        <v>OK</v>
      </c>
    </row>
    <row r="38" spans="1:7" x14ac:dyDescent="0.3">
      <c r="A38" s="3" t="s">
        <v>1147</v>
      </c>
      <c r="B38" s="1" t="s">
        <v>19</v>
      </c>
      <c r="C38" s="1" t="s">
        <v>4</v>
      </c>
      <c r="D38" s="1">
        <f>SUMIFS(tbl_Transactions[Quantity],tbl_Transactions[Product ID], A38,tbl_Transactions[Transaction Type],"IN")-SUMIFS(tbl_Transactions[Quantity],tbl_Transactions[Product ID], A38,tbl_Transactions[Transaction Type],"OUT")</f>
        <v>0</v>
      </c>
      <c r="E38" s="2">
        <v>3.95</v>
      </c>
      <c r="F38" s="2">
        <f t="shared" si="2"/>
        <v>0</v>
      </c>
      <c r="G38" s="20" t="str">
        <f t="shared" si="3"/>
        <v>Out of Stock</v>
      </c>
    </row>
    <row r="39" spans="1:7" x14ac:dyDescent="0.3">
      <c r="A39" s="3" t="s">
        <v>1148</v>
      </c>
      <c r="B39" s="1" t="s">
        <v>1149</v>
      </c>
      <c r="C39" s="1" t="s">
        <v>9</v>
      </c>
      <c r="D39" s="1">
        <f>SUMIFS(tbl_Transactions[Quantity],tbl_Transactions[Product ID], A39,tbl_Transactions[Transaction Type],"IN")-SUMIFS(tbl_Transactions[Quantity],tbl_Transactions[Product ID], A39,tbl_Transactions[Transaction Type],"OUT")</f>
        <v>588</v>
      </c>
      <c r="E39" s="2">
        <v>19.8</v>
      </c>
      <c r="F39" s="2">
        <f t="shared" si="2"/>
        <v>11642.4</v>
      </c>
      <c r="G39" s="20" t="str">
        <f t="shared" si="3"/>
        <v>OK</v>
      </c>
    </row>
    <row r="40" spans="1:7" x14ac:dyDescent="0.3">
      <c r="A40" s="3" t="s">
        <v>1150</v>
      </c>
      <c r="B40" s="1" t="s">
        <v>23</v>
      </c>
      <c r="C40" s="1" t="s">
        <v>9</v>
      </c>
      <c r="D40" s="1">
        <f>SUMIFS(tbl_Transactions[Quantity],tbl_Transactions[Product ID], A40,tbl_Transactions[Transaction Type],"IN")-SUMIFS(tbl_Transactions[Quantity],tbl_Transactions[Product ID], A40,tbl_Transactions[Transaction Type],"OUT")</f>
        <v>427</v>
      </c>
      <c r="E40" s="2">
        <v>24.3</v>
      </c>
      <c r="F40" s="2">
        <f t="shared" si="2"/>
        <v>10376.1</v>
      </c>
      <c r="G40" s="20" t="str">
        <f t="shared" si="3"/>
        <v>OK</v>
      </c>
    </row>
    <row r="41" spans="1:7" x14ac:dyDescent="0.3">
      <c r="A41" s="3" t="s">
        <v>1151</v>
      </c>
      <c r="B41" s="1" t="s">
        <v>1152</v>
      </c>
      <c r="C41" s="1" t="s">
        <v>9</v>
      </c>
      <c r="D41" s="1">
        <f>SUMIFS(tbl_Transactions[Quantity],tbl_Transactions[Product ID], A41,tbl_Transactions[Transaction Type],"IN")-SUMIFS(tbl_Transactions[Quantity],tbl_Transactions[Product ID], A41,tbl_Transactions[Transaction Type],"OUT")</f>
        <v>799</v>
      </c>
      <c r="E41" s="2">
        <v>35.6</v>
      </c>
      <c r="F41" s="2">
        <f t="shared" si="2"/>
        <v>28444.400000000001</v>
      </c>
      <c r="G41" s="20" t="str">
        <f t="shared" si="3"/>
        <v>OK</v>
      </c>
    </row>
    <row r="42" spans="1:7" x14ac:dyDescent="0.3">
      <c r="A42" s="3" t="s">
        <v>1153</v>
      </c>
      <c r="B42" s="1" t="s">
        <v>1154</v>
      </c>
      <c r="C42" s="1" t="s">
        <v>9</v>
      </c>
      <c r="D42" s="1">
        <f>SUMIFS(tbl_Transactions[Quantity],tbl_Transactions[Product ID], A42,tbl_Transactions[Transaction Type],"IN")-SUMIFS(tbl_Transactions[Quantity],tbl_Transactions[Product ID], A42,tbl_Transactions[Transaction Type],"OUT")</f>
        <v>262</v>
      </c>
      <c r="E42" s="2">
        <v>42.1</v>
      </c>
      <c r="F42" s="2">
        <f t="shared" si="2"/>
        <v>11030.2</v>
      </c>
      <c r="G42" s="20" t="str">
        <f t="shared" si="3"/>
        <v>OK</v>
      </c>
    </row>
    <row r="43" spans="1:7" x14ac:dyDescent="0.3">
      <c r="A43" s="3" t="s">
        <v>1155</v>
      </c>
      <c r="B43" s="1" t="s">
        <v>1065</v>
      </c>
      <c r="C43" s="1" t="s">
        <v>2418</v>
      </c>
      <c r="D43" s="1">
        <f>SUMIFS(tbl_Transactions[Quantity],tbl_Transactions[Product ID], A43,tbl_Transactions[Transaction Type],"IN")-SUMIFS(tbl_Transactions[Quantity],tbl_Transactions[Product ID], A43,tbl_Transactions[Transaction Type],"OUT")</f>
        <v>420</v>
      </c>
      <c r="E43" s="2">
        <v>4.0999999999999996</v>
      </c>
      <c r="F43" s="2">
        <f t="shared" si="2"/>
        <v>1721.9999999999998</v>
      </c>
      <c r="G43" s="20" t="str">
        <f t="shared" si="3"/>
        <v>OK</v>
      </c>
    </row>
    <row r="44" spans="1:7" x14ac:dyDescent="0.3">
      <c r="A44" s="3" t="s">
        <v>1156</v>
      </c>
      <c r="B44" s="1" t="s">
        <v>1055</v>
      </c>
      <c r="C44" s="1" t="s">
        <v>13</v>
      </c>
      <c r="D44" s="1">
        <f>SUMIFS(tbl_Transactions[Quantity],tbl_Transactions[Product ID], A44,tbl_Transactions[Transaction Type],"IN")-SUMIFS(tbl_Transactions[Quantity],tbl_Transactions[Product ID], A44,tbl_Transactions[Transaction Type],"OUT")</f>
        <v>351</v>
      </c>
      <c r="E44" s="2">
        <v>6.2</v>
      </c>
      <c r="F44" s="2">
        <f t="shared" si="2"/>
        <v>2176.2000000000003</v>
      </c>
      <c r="G44" s="20" t="str">
        <f t="shared" si="3"/>
        <v>OK</v>
      </c>
    </row>
    <row r="45" spans="1:7" x14ac:dyDescent="0.3">
      <c r="A45" s="3" t="s">
        <v>1157</v>
      </c>
      <c r="B45" s="1" t="s">
        <v>1158</v>
      </c>
      <c r="C45" s="1" t="s">
        <v>9</v>
      </c>
      <c r="D45" s="1">
        <f>SUMIFS(tbl_Transactions[Quantity],tbl_Transactions[Product ID], A45,tbl_Transactions[Transaction Type],"IN")-SUMIFS(tbl_Transactions[Quantity],tbl_Transactions[Product ID], A45,tbl_Transactions[Transaction Type],"OUT")</f>
        <v>872</v>
      </c>
      <c r="E45" s="2">
        <v>14.5</v>
      </c>
      <c r="F45" s="2">
        <f t="shared" si="2"/>
        <v>12644</v>
      </c>
      <c r="G45" s="20" t="str">
        <f t="shared" si="3"/>
        <v>OK</v>
      </c>
    </row>
    <row r="46" spans="1:7" x14ac:dyDescent="0.3">
      <c r="A46" s="3" t="s">
        <v>1159</v>
      </c>
      <c r="B46" s="1" t="s">
        <v>1160</v>
      </c>
      <c r="C46" s="1" t="s">
        <v>9</v>
      </c>
      <c r="D46" s="1">
        <f>SUMIFS(tbl_Transactions[Quantity],tbl_Transactions[Product ID], A46,tbl_Transactions[Transaction Type],"IN")-SUMIFS(tbl_Transactions[Quantity],tbl_Transactions[Product ID], A46,tbl_Transactions[Transaction Type],"OUT")</f>
        <v>554</v>
      </c>
      <c r="E46" s="2">
        <v>12.8</v>
      </c>
      <c r="F46" s="2">
        <f t="shared" si="2"/>
        <v>7091.2000000000007</v>
      </c>
      <c r="G46" s="20" t="str">
        <f t="shared" si="3"/>
        <v>OK</v>
      </c>
    </row>
    <row r="47" spans="1:7" x14ac:dyDescent="0.3">
      <c r="A47" s="3" t="s">
        <v>1161</v>
      </c>
      <c r="B47" s="1" t="s">
        <v>1162</v>
      </c>
      <c r="C47" s="1" t="s">
        <v>9</v>
      </c>
      <c r="D47" s="1">
        <f>SUMIFS(tbl_Transactions[Quantity],tbl_Transactions[Product ID], A47,tbl_Transactions[Transaction Type],"IN")-SUMIFS(tbl_Transactions[Quantity],tbl_Transactions[Product ID], A47,tbl_Transactions[Transaction Type],"OUT")</f>
        <v>588</v>
      </c>
      <c r="E47" s="2">
        <v>30.4</v>
      </c>
      <c r="F47" s="2">
        <f t="shared" si="2"/>
        <v>17875.2</v>
      </c>
      <c r="G47" s="20" t="str">
        <f t="shared" si="3"/>
        <v>OK</v>
      </c>
    </row>
    <row r="48" spans="1:7" x14ac:dyDescent="0.3">
      <c r="A48" s="3" t="s">
        <v>1163</v>
      </c>
      <c r="B48" s="1" t="s">
        <v>1081</v>
      </c>
      <c r="C48" s="1" t="s">
        <v>13</v>
      </c>
      <c r="D48" s="1">
        <f>SUMIFS(tbl_Transactions[Quantity],tbl_Transactions[Product ID], A48,tbl_Transactions[Transaction Type],"IN")-SUMIFS(tbl_Transactions[Quantity],tbl_Transactions[Product ID], A48,tbl_Transactions[Transaction Type],"OUT")</f>
        <v>254</v>
      </c>
      <c r="E48" s="2">
        <v>2.5</v>
      </c>
      <c r="F48" s="2">
        <f t="shared" si="2"/>
        <v>635</v>
      </c>
      <c r="G48" s="20" t="str">
        <f t="shared" si="3"/>
        <v>OK</v>
      </c>
    </row>
    <row r="49" spans="1:7" x14ac:dyDescent="0.3">
      <c r="A49" s="3" t="s">
        <v>1164</v>
      </c>
      <c r="B49" s="1" t="s">
        <v>20</v>
      </c>
      <c r="C49" s="1" t="s">
        <v>9</v>
      </c>
      <c r="D49" s="1">
        <f>SUMIFS(tbl_Transactions[Quantity],tbl_Transactions[Product ID], A49,tbl_Transactions[Transaction Type],"IN")-SUMIFS(tbl_Transactions[Quantity],tbl_Transactions[Product ID], A49,tbl_Transactions[Transaction Type],"OUT")</f>
        <v>775</v>
      </c>
      <c r="E49" s="2">
        <v>18.899999999999999</v>
      </c>
      <c r="F49" s="2">
        <f t="shared" si="2"/>
        <v>14647.499999999998</v>
      </c>
      <c r="G49" s="20" t="str">
        <f t="shared" si="3"/>
        <v>OK</v>
      </c>
    </row>
    <row r="50" spans="1:7" x14ac:dyDescent="0.3">
      <c r="A50" s="3" t="s">
        <v>1165</v>
      </c>
      <c r="B50" s="1" t="s">
        <v>1166</v>
      </c>
      <c r="C50" s="1" t="s">
        <v>17</v>
      </c>
      <c r="D50" s="1">
        <f>SUMIFS(tbl_Transactions[Quantity],tbl_Transactions[Product ID], A50,tbl_Transactions[Transaction Type],"IN")-SUMIFS(tbl_Transactions[Quantity],tbl_Transactions[Product ID], A50,tbl_Transactions[Transaction Type],"OUT")</f>
        <v>190</v>
      </c>
      <c r="E50" s="2">
        <v>15.2</v>
      </c>
      <c r="F50" s="2">
        <f t="shared" si="2"/>
        <v>2888</v>
      </c>
      <c r="G50" s="20" t="str">
        <f t="shared" si="3"/>
        <v>OK</v>
      </c>
    </row>
    <row r="51" spans="1:7" x14ac:dyDescent="0.3">
      <c r="A51" s="3" t="s">
        <v>1168</v>
      </c>
      <c r="B51" s="1" t="s">
        <v>1169</v>
      </c>
      <c r="C51" s="1" t="s">
        <v>17</v>
      </c>
      <c r="D51" s="1">
        <f>SUMIFS(tbl_Transactions[Quantity],tbl_Transactions[Product ID], A51,tbl_Transactions[Transaction Type],"IN")-SUMIFS(tbl_Transactions[Quantity],tbl_Transactions[Product ID], A51,tbl_Transactions[Transaction Type],"OUT")</f>
        <v>366</v>
      </c>
      <c r="E51" s="2">
        <v>4.8</v>
      </c>
      <c r="F51" s="2">
        <f t="shared" si="2"/>
        <v>1756.8</v>
      </c>
      <c r="G51" s="20" t="str">
        <f t="shared" si="3"/>
        <v>OK</v>
      </c>
    </row>
    <row r="52" spans="1:7" x14ac:dyDescent="0.3">
      <c r="A52" s="3" t="s">
        <v>1170</v>
      </c>
      <c r="B52" s="1" t="s">
        <v>1171</v>
      </c>
      <c r="C52" s="1" t="s">
        <v>17</v>
      </c>
      <c r="D52" s="1">
        <f>SUMIFS(tbl_Transactions[Quantity],tbl_Transactions[Product ID], A52,tbl_Transactions[Transaction Type],"IN")-SUMIFS(tbl_Transactions[Quantity],tbl_Transactions[Product ID], A52,tbl_Transactions[Transaction Type],"OUT")</f>
        <v>168</v>
      </c>
      <c r="E52" s="2">
        <v>3.2</v>
      </c>
      <c r="F52" s="2">
        <f t="shared" si="2"/>
        <v>537.6</v>
      </c>
      <c r="G52" s="20" t="str">
        <f t="shared" si="3"/>
        <v>OK</v>
      </c>
    </row>
    <row r="53" spans="1:7" x14ac:dyDescent="0.3">
      <c r="A53" s="3" t="s">
        <v>1172</v>
      </c>
      <c r="B53" s="1" t="s">
        <v>1078</v>
      </c>
      <c r="C53" s="1" t="s">
        <v>2417</v>
      </c>
      <c r="D53" s="1">
        <f>SUMIFS(tbl_Transactions[Quantity],tbl_Transactions[Product ID], A53,tbl_Transactions[Transaction Type],"IN")-SUMIFS(tbl_Transactions[Quantity],tbl_Transactions[Product ID], A53,tbl_Transactions[Transaction Type],"OUT")</f>
        <v>0</v>
      </c>
      <c r="E53" s="2">
        <v>9.4</v>
      </c>
      <c r="F53" s="2">
        <f t="shared" si="2"/>
        <v>0</v>
      </c>
      <c r="G53" s="20" t="str">
        <f t="shared" si="3"/>
        <v>Out of Stock</v>
      </c>
    </row>
    <row r="54" spans="1:7" x14ac:dyDescent="0.3">
      <c r="A54" s="3" t="s">
        <v>1173</v>
      </c>
      <c r="B54" s="1" t="s">
        <v>1062</v>
      </c>
      <c r="C54" s="1" t="s">
        <v>2417</v>
      </c>
      <c r="D54" s="1">
        <f>SUMIFS(tbl_Transactions[Quantity],tbl_Transactions[Product ID], A54,tbl_Transactions[Transaction Type],"IN")-SUMIFS(tbl_Transactions[Quantity],tbl_Transactions[Product ID], A54,tbl_Transactions[Transaction Type],"OUT")</f>
        <v>414</v>
      </c>
      <c r="E54" s="2">
        <v>11.2</v>
      </c>
      <c r="F54" s="2">
        <f t="shared" si="2"/>
        <v>4636.7999999999993</v>
      </c>
      <c r="G54" s="20" t="str">
        <f t="shared" si="3"/>
        <v>OK</v>
      </c>
    </row>
    <row r="55" spans="1:7" x14ac:dyDescent="0.3">
      <c r="A55" s="3" t="s">
        <v>1174</v>
      </c>
      <c r="B55" s="1" t="s">
        <v>1175</v>
      </c>
      <c r="C55" s="1" t="s">
        <v>4</v>
      </c>
      <c r="D55" s="1">
        <f>SUMIFS(tbl_Transactions[Quantity],tbl_Transactions[Product ID], A55,tbl_Transactions[Transaction Type],"IN")-SUMIFS(tbl_Transactions[Quantity],tbl_Transactions[Product ID], A55,tbl_Transactions[Transaction Type],"OUT")</f>
        <v>196</v>
      </c>
      <c r="E55" s="2">
        <v>14.3</v>
      </c>
      <c r="F55" s="2">
        <f t="shared" si="2"/>
        <v>2802.8</v>
      </c>
      <c r="G55" s="20" t="str">
        <f t="shared" si="3"/>
        <v>OK</v>
      </c>
    </row>
    <row r="56" spans="1:7" x14ac:dyDescent="0.3">
      <c r="A56" s="3" t="s">
        <v>1176</v>
      </c>
      <c r="B56" s="1" t="s">
        <v>1082</v>
      </c>
      <c r="C56" s="1" t="s">
        <v>4</v>
      </c>
      <c r="D56" s="1">
        <f>SUMIFS(tbl_Transactions[Quantity],tbl_Transactions[Product ID], A56,tbl_Transactions[Transaction Type],"IN")-SUMIFS(tbl_Transactions[Quantity],tbl_Transactions[Product ID], A56,tbl_Transactions[Transaction Type],"OUT")</f>
        <v>488</v>
      </c>
      <c r="E56" s="2">
        <v>8.5</v>
      </c>
      <c r="F56" s="2">
        <f t="shared" si="2"/>
        <v>4148</v>
      </c>
      <c r="G56" s="20" t="str">
        <f t="shared" si="3"/>
        <v>OK</v>
      </c>
    </row>
    <row r="57" spans="1:7" x14ac:dyDescent="0.3">
      <c r="A57" s="3" t="s">
        <v>1177</v>
      </c>
      <c r="B57" s="1" t="s">
        <v>1178</v>
      </c>
      <c r="C57" s="1" t="s">
        <v>4</v>
      </c>
      <c r="D57" s="1">
        <f>SUMIFS(tbl_Transactions[Quantity],tbl_Transactions[Product ID], A57,tbl_Transactions[Transaction Type],"IN")-SUMIFS(tbl_Transactions[Quantity],tbl_Transactions[Product ID], A57,tbl_Transactions[Transaction Type],"OUT")</f>
        <v>614</v>
      </c>
      <c r="E57" s="2">
        <v>15.7</v>
      </c>
      <c r="F57" s="2">
        <f t="shared" si="2"/>
        <v>9639.7999999999993</v>
      </c>
      <c r="G57" s="20" t="str">
        <f t="shared" si="3"/>
        <v>OK</v>
      </c>
    </row>
    <row r="58" spans="1:7" x14ac:dyDescent="0.3">
      <c r="A58" s="3" t="s">
        <v>1179</v>
      </c>
      <c r="B58" s="1" t="s">
        <v>1059</v>
      </c>
      <c r="C58" s="1" t="s">
        <v>4</v>
      </c>
      <c r="D58" s="1">
        <f>SUMIFS(tbl_Transactions[Quantity],tbl_Transactions[Product ID], A58,tbl_Transactions[Transaction Type],"IN")-SUMIFS(tbl_Transactions[Quantity],tbl_Transactions[Product ID], A58,tbl_Transactions[Transaction Type],"OUT")</f>
        <v>438</v>
      </c>
      <c r="E58" s="2">
        <v>9.8000000000000007</v>
      </c>
      <c r="F58" s="2">
        <f t="shared" si="2"/>
        <v>4292.4000000000005</v>
      </c>
      <c r="G58" s="20" t="str">
        <f t="shared" si="3"/>
        <v>OK</v>
      </c>
    </row>
    <row r="59" spans="1:7" x14ac:dyDescent="0.3">
      <c r="A59" s="3" t="s">
        <v>1180</v>
      </c>
      <c r="B59" s="1" t="s">
        <v>1080</v>
      </c>
      <c r="C59" s="1" t="s">
        <v>4</v>
      </c>
      <c r="D59" s="1">
        <f>SUMIFS(tbl_Transactions[Quantity],tbl_Transactions[Product ID], A59,tbl_Transactions[Transaction Type],"IN")-SUMIFS(tbl_Transactions[Quantity],tbl_Transactions[Product ID], A59,tbl_Transactions[Transaction Type],"OUT")</f>
        <v>194</v>
      </c>
      <c r="E59" s="2">
        <v>11.4</v>
      </c>
      <c r="F59" s="2">
        <f t="shared" si="2"/>
        <v>2211.6</v>
      </c>
      <c r="G59" s="20" t="str">
        <f t="shared" si="3"/>
        <v>OK</v>
      </c>
    </row>
    <row r="60" spans="1:7" x14ac:dyDescent="0.3">
      <c r="A60" s="3" t="s">
        <v>1181</v>
      </c>
      <c r="B60" s="1" t="s">
        <v>1182</v>
      </c>
      <c r="C60" s="1" t="s">
        <v>4</v>
      </c>
      <c r="D60" s="1">
        <f>SUMIFS(tbl_Transactions[Quantity],tbl_Transactions[Product ID], A60,tbl_Transactions[Transaction Type],"IN")-SUMIFS(tbl_Transactions[Quantity],tbl_Transactions[Product ID], A60,tbl_Transactions[Transaction Type],"OUT")</f>
        <v>290</v>
      </c>
      <c r="E60" s="2">
        <v>3.85</v>
      </c>
      <c r="F60" s="2">
        <f t="shared" si="2"/>
        <v>1116.5</v>
      </c>
      <c r="G60" s="20" t="str">
        <f t="shared" si="3"/>
        <v>OK</v>
      </c>
    </row>
    <row r="61" spans="1:7" x14ac:dyDescent="0.3">
      <c r="A61" s="3" t="s">
        <v>1183</v>
      </c>
      <c r="B61" s="1" t="s">
        <v>1184</v>
      </c>
      <c r="C61" s="1" t="s">
        <v>4</v>
      </c>
      <c r="D61" s="1">
        <f>SUMIFS(tbl_Transactions[Quantity],tbl_Transactions[Product ID], A61,tbl_Transactions[Transaction Type],"IN")-SUMIFS(tbl_Transactions[Quantity],tbl_Transactions[Product ID], A61,tbl_Transactions[Transaction Type],"OUT")</f>
        <v>493</v>
      </c>
      <c r="E61" s="2">
        <v>4.4000000000000004</v>
      </c>
      <c r="F61" s="2">
        <f t="shared" si="2"/>
        <v>2169.2000000000003</v>
      </c>
      <c r="G61" s="20" t="str">
        <f t="shared" si="3"/>
        <v>OK</v>
      </c>
    </row>
    <row r="62" spans="1:7" x14ac:dyDescent="0.3">
      <c r="A62" s="3" t="s">
        <v>1185</v>
      </c>
      <c r="B62" s="1" t="s">
        <v>21</v>
      </c>
      <c r="C62" s="1" t="s">
        <v>4</v>
      </c>
      <c r="D62" s="1">
        <f>SUMIFS(tbl_Transactions[Quantity],tbl_Transactions[Product ID], A62,tbl_Transactions[Transaction Type],"IN")-SUMIFS(tbl_Transactions[Quantity],tbl_Transactions[Product ID], A62,tbl_Transactions[Transaction Type],"OUT")</f>
        <v>364</v>
      </c>
      <c r="E62" s="2">
        <v>5.2</v>
      </c>
      <c r="F62" s="2">
        <f t="shared" si="2"/>
        <v>1892.8</v>
      </c>
      <c r="G62" s="20" t="str">
        <f t="shared" si="3"/>
        <v>OK</v>
      </c>
    </row>
    <row r="63" spans="1:7" x14ac:dyDescent="0.3">
      <c r="A63" s="3" t="s">
        <v>1186</v>
      </c>
      <c r="B63" s="1" t="s">
        <v>1056</v>
      </c>
      <c r="C63" s="1" t="s">
        <v>4</v>
      </c>
      <c r="D63" s="1">
        <f>SUMIFS(tbl_Transactions[Quantity],tbl_Transactions[Product ID], A63,tbl_Transactions[Transaction Type],"IN")-SUMIFS(tbl_Transactions[Quantity],tbl_Transactions[Product ID], A63,tbl_Transactions[Transaction Type],"OUT")</f>
        <v>684</v>
      </c>
      <c r="E63" s="2">
        <v>4.0999999999999996</v>
      </c>
      <c r="F63" s="2">
        <f t="shared" si="2"/>
        <v>2804.3999999999996</v>
      </c>
      <c r="G63" s="20" t="str">
        <f t="shared" si="3"/>
        <v>OK</v>
      </c>
    </row>
    <row r="64" spans="1:7" x14ac:dyDescent="0.3">
      <c r="A64" s="3" t="s">
        <v>1187</v>
      </c>
      <c r="B64" s="1" t="s">
        <v>1188</v>
      </c>
      <c r="C64" s="1" t="s">
        <v>4</v>
      </c>
      <c r="D64" s="1">
        <f>SUMIFS(tbl_Transactions[Quantity],tbl_Transactions[Product ID], A64,tbl_Transactions[Transaction Type],"IN")-SUMIFS(tbl_Transactions[Quantity],tbl_Transactions[Product ID], A64,tbl_Transactions[Transaction Type],"OUT")</f>
        <v>365</v>
      </c>
      <c r="E64" s="2">
        <v>6.5</v>
      </c>
      <c r="F64" s="2">
        <f t="shared" si="2"/>
        <v>2372.5</v>
      </c>
      <c r="G64" s="20" t="str">
        <f t="shared" si="3"/>
        <v>OK</v>
      </c>
    </row>
    <row r="65" spans="1:7" x14ac:dyDescent="0.3">
      <c r="A65" s="3" t="s">
        <v>1189</v>
      </c>
      <c r="B65" s="1" t="s">
        <v>1061</v>
      </c>
      <c r="C65" s="1" t="s">
        <v>4</v>
      </c>
      <c r="D65" s="1">
        <f>SUMIFS(tbl_Transactions[Quantity],tbl_Transactions[Product ID], A65,tbl_Transactions[Transaction Type],"IN")-SUMIFS(tbl_Transactions[Quantity],tbl_Transactions[Product ID], A65,tbl_Transactions[Transaction Type],"OUT")</f>
        <v>273</v>
      </c>
      <c r="E65" s="2">
        <v>3.5</v>
      </c>
      <c r="F65" s="2">
        <f t="shared" si="2"/>
        <v>955.5</v>
      </c>
      <c r="G65" s="20" t="str">
        <f t="shared" si="3"/>
        <v>OK</v>
      </c>
    </row>
    <row r="66" spans="1:7" x14ac:dyDescent="0.3">
      <c r="A66" s="3" t="s">
        <v>1190</v>
      </c>
      <c r="B66" s="1" t="s">
        <v>1069</v>
      </c>
      <c r="C66" s="1" t="s">
        <v>4</v>
      </c>
      <c r="D66" s="1">
        <f>SUMIFS(tbl_Transactions[Quantity],tbl_Transactions[Product ID], A66,tbl_Transactions[Transaction Type],"IN")-SUMIFS(tbl_Transactions[Quantity],tbl_Transactions[Product ID], A66,tbl_Transactions[Transaction Type],"OUT")</f>
        <v>106</v>
      </c>
      <c r="E66" s="2">
        <v>2.9</v>
      </c>
      <c r="F66" s="2">
        <f t="shared" ref="F66:F97" si="4">IFERROR(D66*E66,0)</f>
        <v>307.39999999999998</v>
      </c>
      <c r="G66" s="20" t="str">
        <f t="shared" ref="G66:G97" si="5">IF(D66&lt;=0,"Out of Stock",IF(D66&lt;100,"Low Stock","OK"))</f>
        <v>OK</v>
      </c>
    </row>
    <row r="67" spans="1:7" x14ac:dyDescent="0.3">
      <c r="A67" s="3" t="s">
        <v>1191</v>
      </c>
      <c r="B67" s="1" t="s">
        <v>1192</v>
      </c>
      <c r="C67" s="1" t="s">
        <v>4</v>
      </c>
      <c r="D67" s="1">
        <f>SUMIFS(tbl_Transactions[Quantity],tbl_Transactions[Product ID], A67,tbl_Transactions[Transaction Type],"IN")-SUMIFS(tbl_Transactions[Quantity],tbl_Transactions[Product ID], A67,tbl_Transactions[Transaction Type],"OUT")</f>
        <v>403</v>
      </c>
      <c r="E67" s="2">
        <v>3.2</v>
      </c>
      <c r="F67" s="2">
        <f t="shared" si="4"/>
        <v>1289.6000000000001</v>
      </c>
      <c r="G67" s="20" t="str">
        <f t="shared" si="5"/>
        <v>OK</v>
      </c>
    </row>
    <row r="68" spans="1:7" x14ac:dyDescent="0.3">
      <c r="A68" s="3" t="s">
        <v>1193</v>
      </c>
      <c r="B68" s="1" t="s">
        <v>1194</v>
      </c>
      <c r="C68" s="1" t="s">
        <v>4</v>
      </c>
      <c r="D68" s="1">
        <f>SUMIFS(tbl_Transactions[Quantity],tbl_Transactions[Product ID], A68,tbl_Transactions[Transaction Type],"IN")-SUMIFS(tbl_Transactions[Quantity],tbl_Transactions[Product ID], A68,tbl_Transactions[Transaction Type],"OUT")</f>
        <v>743</v>
      </c>
      <c r="E68" s="2">
        <v>6.8</v>
      </c>
      <c r="F68" s="2">
        <f t="shared" si="4"/>
        <v>5052.3999999999996</v>
      </c>
      <c r="G68" s="20" t="str">
        <f t="shared" si="5"/>
        <v>OK</v>
      </c>
    </row>
    <row r="69" spans="1:7" x14ac:dyDescent="0.3">
      <c r="A69" s="3" t="s">
        <v>1195</v>
      </c>
      <c r="B69" s="1" t="s">
        <v>1196</v>
      </c>
      <c r="C69" s="1" t="s">
        <v>4</v>
      </c>
      <c r="D69" s="1">
        <f>SUMIFS(tbl_Transactions[Quantity],tbl_Transactions[Product ID], A69,tbl_Transactions[Transaction Type],"IN")-SUMIFS(tbl_Transactions[Quantity],tbl_Transactions[Product ID], A69,tbl_Transactions[Transaction Type],"OUT")</f>
        <v>372</v>
      </c>
      <c r="E69" s="2">
        <v>2.5</v>
      </c>
      <c r="F69" s="2">
        <f t="shared" si="4"/>
        <v>930</v>
      </c>
      <c r="G69" s="20" t="str">
        <f t="shared" si="5"/>
        <v>OK</v>
      </c>
    </row>
    <row r="70" spans="1:7" x14ac:dyDescent="0.3">
      <c r="A70" s="3" t="s">
        <v>1197</v>
      </c>
      <c r="B70" s="1" t="s">
        <v>1198</v>
      </c>
      <c r="C70" s="1" t="s">
        <v>2417</v>
      </c>
      <c r="D70" s="1">
        <f>SUMIFS(tbl_Transactions[Quantity],tbl_Transactions[Product ID], A70,tbl_Transactions[Transaction Type],"IN")-SUMIFS(tbl_Transactions[Quantity],tbl_Transactions[Product ID], A70,tbl_Transactions[Transaction Type],"OUT")</f>
        <v>386</v>
      </c>
      <c r="E70" s="2">
        <v>18.2</v>
      </c>
      <c r="F70" s="2">
        <f t="shared" si="4"/>
        <v>7025.2</v>
      </c>
      <c r="G70" s="20" t="str">
        <f t="shared" si="5"/>
        <v>OK</v>
      </c>
    </row>
    <row r="71" spans="1:7" x14ac:dyDescent="0.3">
      <c r="A71" s="3" t="s">
        <v>1199</v>
      </c>
      <c r="B71" s="1" t="s">
        <v>1200</v>
      </c>
      <c r="C71" s="1" t="s">
        <v>2417</v>
      </c>
      <c r="D71" s="1">
        <f>SUMIFS(tbl_Transactions[Quantity],tbl_Transactions[Product ID], A71,tbl_Transactions[Transaction Type],"IN")-SUMIFS(tbl_Transactions[Quantity],tbl_Transactions[Product ID], A71,tbl_Transactions[Transaction Type],"OUT")</f>
        <v>131</v>
      </c>
      <c r="E71" s="2">
        <v>4.5</v>
      </c>
      <c r="F71" s="2">
        <f t="shared" si="4"/>
        <v>589.5</v>
      </c>
      <c r="G71" s="20" t="str">
        <f t="shared" si="5"/>
        <v>OK</v>
      </c>
    </row>
    <row r="72" spans="1:7" x14ac:dyDescent="0.3">
      <c r="A72" s="3" t="s">
        <v>1201</v>
      </c>
      <c r="B72" s="1" t="s">
        <v>1060</v>
      </c>
      <c r="C72" s="1" t="s">
        <v>2417</v>
      </c>
      <c r="D72" s="1">
        <f>SUMIFS(tbl_Transactions[Quantity],tbl_Transactions[Product ID], A72,tbl_Transactions[Transaction Type],"IN")-SUMIFS(tbl_Transactions[Quantity],tbl_Transactions[Product ID], A72,tbl_Transactions[Transaction Type],"OUT")</f>
        <v>102</v>
      </c>
      <c r="E72" s="2">
        <v>13.4</v>
      </c>
      <c r="F72" s="2">
        <f t="shared" si="4"/>
        <v>1366.8</v>
      </c>
      <c r="G72" s="20" t="str">
        <f t="shared" si="5"/>
        <v>OK</v>
      </c>
    </row>
    <row r="73" spans="1:7" x14ac:dyDescent="0.3">
      <c r="A73" s="3" t="s">
        <v>1202</v>
      </c>
      <c r="B73" s="1" t="s">
        <v>1058</v>
      </c>
      <c r="C73" s="1" t="s">
        <v>2417</v>
      </c>
      <c r="D73" s="1">
        <f>SUMIFS(tbl_Transactions[Quantity],tbl_Transactions[Product ID], A73,tbl_Transactions[Transaction Type],"IN")-SUMIFS(tbl_Transactions[Quantity],tbl_Transactions[Product ID], A73,tbl_Transactions[Transaction Type],"OUT")</f>
        <v>322</v>
      </c>
      <c r="E73" s="2">
        <v>21.1</v>
      </c>
      <c r="F73" s="2">
        <f t="shared" si="4"/>
        <v>6794.2000000000007</v>
      </c>
      <c r="G73" s="20" t="str">
        <f t="shared" si="5"/>
        <v>OK</v>
      </c>
    </row>
    <row r="74" spans="1:7" x14ac:dyDescent="0.3">
      <c r="A74" s="3" t="s">
        <v>1203</v>
      </c>
      <c r="B74" s="1" t="s">
        <v>1057</v>
      </c>
      <c r="C74" s="1" t="s">
        <v>2417</v>
      </c>
      <c r="D74" s="1">
        <f>SUMIFS(tbl_Transactions[Quantity],tbl_Transactions[Product ID], A74,tbl_Transactions[Transaction Type],"IN")-SUMIFS(tbl_Transactions[Quantity],tbl_Transactions[Product ID], A74,tbl_Transactions[Transaction Type],"OUT")</f>
        <v>452</v>
      </c>
      <c r="E74" s="2">
        <v>7.8</v>
      </c>
      <c r="F74" s="2">
        <f t="shared" si="4"/>
        <v>3525.6</v>
      </c>
      <c r="G74" s="20" t="str">
        <f t="shared" si="5"/>
        <v>OK</v>
      </c>
    </row>
    <row r="75" spans="1:7" x14ac:dyDescent="0.3">
      <c r="A75" s="3" t="s">
        <v>1204</v>
      </c>
      <c r="B75" s="1" t="s">
        <v>1205</v>
      </c>
      <c r="C75" s="1" t="s">
        <v>2417</v>
      </c>
      <c r="D75" s="1">
        <f>SUMIFS(tbl_Transactions[Quantity],tbl_Transactions[Product ID], A75,tbl_Transactions[Transaction Type],"IN")-SUMIFS(tbl_Transactions[Quantity],tbl_Transactions[Product ID], A75,tbl_Transactions[Transaction Type],"OUT")</f>
        <v>636</v>
      </c>
      <c r="E75" s="2">
        <v>16.5</v>
      </c>
      <c r="F75" s="2">
        <f t="shared" si="4"/>
        <v>10494</v>
      </c>
      <c r="G75" s="20" t="str">
        <f t="shared" si="5"/>
        <v>OK</v>
      </c>
    </row>
    <row r="76" spans="1:7" x14ac:dyDescent="0.3">
      <c r="A76" s="3" t="s">
        <v>1206</v>
      </c>
      <c r="B76" s="1" t="s">
        <v>1207</v>
      </c>
      <c r="C76" s="1" t="s">
        <v>2417</v>
      </c>
      <c r="D76" s="1">
        <f>SUMIFS(tbl_Transactions[Quantity],tbl_Transactions[Product ID], A76,tbl_Transactions[Transaction Type],"IN")-SUMIFS(tbl_Transactions[Quantity],tbl_Transactions[Product ID], A76,tbl_Transactions[Transaction Type],"OUT")</f>
        <v>83</v>
      </c>
      <c r="E76" s="2">
        <v>5.2</v>
      </c>
      <c r="F76" s="2">
        <f t="shared" si="4"/>
        <v>431.6</v>
      </c>
      <c r="G76" s="20" t="str">
        <f t="shared" si="5"/>
        <v>Low Stock</v>
      </c>
    </row>
    <row r="77" spans="1:7" x14ac:dyDescent="0.3">
      <c r="A77" s="3" t="s">
        <v>1208</v>
      </c>
      <c r="B77" s="1" t="s">
        <v>1209</v>
      </c>
      <c r="C77" s="1" t="s">
        <v>2417</v>
      </c>
      <c r="D77" s="1">
        <f>SUMIFS(tbl_Transactions[Quantity],tbl_Transactions[Product ID], A77,tbl_Transactions[Transaction Type],"IN")-SUMIFS(tbl_Transactions[Quantity],tbl_Transactions[Product ID], A77,tbl_Transactions[Transaction Type],"OUT")</f>
        <v>424</v>
      </c>
      <c r="E77" s="2">
        <v>6.4</v>
      </c>
      <c r="F77" s="2">
        <f t="shared" si="4"/>
        <v>2713.6000000000004</v>
      </c>
      <c r="G77" s="20" t="str">
        <f t="shared" si="5"/>
        <v>OK</v>
      </c>
    </row>
    <row r="78" spans="1:7" x14ac:dyDescent="0.3">
      <c r="A78" s="3" t="s">
        <v>1210</v>
      </c>
      <c r="B78" s="1" t="s">
        <v>1211</v>
      </c>
      <c r="C78" s="1" t="s">
        <v>2417</v>
      </c>
      <c r="D78" s="1">
        <f>SUMIFS(tbl_Transactions[Quantity],tbl_Transactions[Product ID], A78,tbl_Transactions[Transaction Type],"IN")-SUMIFS(tbl_Transactions[Quantity],tbl_Transactions[Product ID], A78,tbl_Transactions[Transaction Type],"OUT")</f>
        <v>224</v>
      </c>
      <c r="E78" s="2">
        <v>24.8</v>
      </c>
      <c r="F78" s="2">
        <f t="shared" si="4"/>
        <v>5555.2</v>
      </c>
      <c r="G78" s="20" t="str">
        <f t="shared" si="5"/>
        <v>OK</v>
      </c>
    </row>
    <row r="79" spans="1:7" x14ac:dyDescent="0.3">
      <c r="A79" s="3" t="s">
        <v>1212</v>
      </c>
      <c r="B79" s="1" t="s">
        <v>1213</v>
      </c>
      <c r="C79" s="1" t="s">
        <v>2418</v>
      </c>
      <c r="D79" s="1">
        <f>SUMIFS(tbl_Transactions[Quantity],tbl_Transactions[Product ID], A79,tbl_Transactions[Transaction Type],"IN")-SUMIFS(tbl_Transactions[Quantity],tbl_Transactions[Product ID], A79,tbl_Transactions[Transaction Type],"OUT")</f>
        <v>647</v>
      </c>
      <c r="E79" s="2">
        <v>12.4</v>
      </c>
      <c r="F79" s="2">
        <f t="shared" si="4"/>
        <v>8022.8</v>
      </c>
      <c r="G79" s="20" t="str">
        <f t="shared" si="5"/>
        <v>OK</v>
      </c>
    </row>
    <row r="80" spans="1:7" x14ac:dyDescent="0.3">
      <c r="A80" s="3" t="s">
        <v>1214</v>
      </c>
      <c r="B80" s="1" t="s">
        <v>1215</v>
      </c>
      <c r="C80" s="1" t="s">
        <v>2418</v>
      </c>
      <c r="D80" s="1">
        <f>SUMIFS(tbl_Transactions[Quantity],tbl_Transactions[Product ID], A80,tbl_Transactions[Transaction Type],"IN")-SUMIFS(tbl_Transactions[Quantity],tbl_Transactions[Product ID], A80,tbl_Transactions[Transaction Type],"OUT")</f>
        <v>781</v>
      </c>
      <c r="E80" s="2">
        <v>15.6</v>
      </c>
      <c r="F80" s="2">
        <f t="shared" si="4"/>
        <v>12183.6</v>
      </c>
      <c r="G80" s="20" t="str">
        <f t="shared" si="5"/>
        <v>OK</v>
      </c>
    </row>
    <row r="81" spans="1:7" x14ac:dyDescent="0.3">
      <c r="A81" s="3" t="s">
        <v>1216</v>
      </c>
      <c r="B81" s="1" t="s">
        <v>1066</v>
      </c>
      <c r="C81" s="1" t="s">
        <v>4</v>
      </c>
      <c r="D81" s="1">
        <f>SUMIFS(tbl_Transactions[Quantity],tbl_Transactions[Product ID], A81,tbl_Transactions[Transaction Type],"IN")-SUMIFS(tbl_Transactions[Quantity],tbl_Transactions[Product ID], A81,tbl_Transactions[Transaction Type],"OUT")</f>
        <v>577</v>
      </c>
      <c r="E81" s="2">
        <v>8.1999999999999993</v>
      </c>
      <c r="F81" s="2">
        <f t="shared" si="4"/>
        <v>4731.3999999999996</v>
      </c>
      <c r="G81" s="20" t="str">
        <f t="shared" si="5"/>
        <v>OK</v>
      </c>
    </row>
    <row r="82" spans="1:7" x14ac:dyDescent="0.3">
      <c r="A82" s="3" t="s">
        <v>1217</v>
      </c>
      <c r="B82" s="1" t="s">
        <v>1067</v>
      </c>
      <c r="C82" s="1" t="s">
        <v>17</v>
      </c>
      <c r="D82" s="1">
        <f>SUMIFS(tbl_Transactions[Quantity],tbl_Transactions[Product ID], A82,tbl_Transactions[Transaction Type],"IN")-SUMIFS(tbl_Transactions[Quantity],tbl_Transactions[Product ID], A82,tbl_Transactions[Transaction Type],"OUT")</f>
        <v>916</v>
      </c>
      <c r="E82" s="2">
        <v>9.5</v>
      </c>
      <c r="F82" s="2">
        <f t="shared" si="4"/>
        <v>8702</v>
      </c>
      <c r="G82" s="20" t="str">
        <f t="shared" si="5"/>
        <v>OK</v>
      </c>
    </row>
    <row r="83" spans="1:7" x14ac:dyDescent="0.3">
      <c r="A83" s="3" t="s">
        <v>1218</v>
      </c>
      <c r="B83" s="1" t="s">
        <v>1068</v>
      </c>
      <c r="C83" s="1" t="s">
        <v>2417</v>
      </c>
      <c r="D83" s="1">
        <f>SUMIFS(tbl_Transactions[Quantity],tbl_Transactions[Product ID], A83,tbl_Transactions[Transaction Type],"IN")-SUMIFS(tbl_Transactions[Quantity],tbl_Transactions[Product ID], A83,tbl_Transactions[Transaction Type],"OUT")</f>
        <v>254</v>
      </c>
      <c r="E83" s="2">
        <v>14.2</v>
      </c>
      <c r="F83" s="2">
        <f t="shared" si="4"/>
        <v>3606.7999999999997</v>
      </c>
      <c r="G83" s="20" t="str">
        <f t="shared" si="5"/>
        <v>OK</v>
      </c>
    </row>
    <row r="84" spans="1:7" x14ac:dyDescent="0.3">
      <c r="A84" s="3" t="s">
        <v>1219</v>
      </c>
      <c r="B84" s="1" t="s">
        <v>24</v>
      </c>
      <c r="C84" s="1" t="s">
        <v>4</v>
      </c>
      <c r="D84" s="1">
        <f>SUMIFS(tbl_Transactions[Quantity],tbl_Transactions[Product ID], A84,tbl_Transactions[Transaction Type],"IN")-SUMIFS(tbl_Transactions[Quantity],tbl_Transactions[Product ID], A84,tbl_Transactions[Transaction Type],"OUT")</f>
        <v>718</v>
      </c>
      <c r="E84" s="2">
        <v>2.8</v>
      </c>
      <c r="F84" s="2">
        <f t="shared" si="4"/>
        <v>2010.3999999999999</v>
      </c>
      <c r="G84" s="20" t="str">
        <f t="shared" si="5"/>
        <v>OK</v>
      </c>
    </row>
    <row r="85" spans="1:7" x14ac:dyDescent="0.3">
      <c r="A85" s="3" t="s">
        <v>1220</v>
      </c>
      <c r="B85" s="1" t="s">
        <v>1069</v>
      </c>
      <c r="C85" s="1" t="s">
        <v>4</v>
      </c>
      <c r="D85" s="1">
        <f>SUMIFS(tbl_Transactions[Quantity],tbl_Transactions[Product ID], A85,tbl_Transactions[Transaction Type],"IN")-SUMIFS(tbl_Transactions[Quantity],tbl_Transactions[Product ID], A85,tbl_Transactions[Transaction Type],"OUT")</f>
        <v>323</v>
      </c>
      <c r="E85" s="2">
        <v>3.1</v>
      </c>
      <c r="F85" s="2">
        <f t="shared" si="4"/>
        <v>1001.3000000000001</v>
      </c>
      <c r="G85" s="20" t="str">
        <f t="shared" si="5"/>
        <v>OK</v>
      </c>
    </row>
    <row r="86" spans="1:7" x14ac:dyDescent="0.3">
      <c r="A86" s="3" t="s">
        <v>1221</v>
      </c>
      <c r="B86" s="1" t="s">
        <v>1070</v>
      </c>
      <c r="C86" s="1" t="s">
        <v>2418</v>
      </c>
      <c r="D86" s="1">
        <f>SUMIFS(tbl_Transactions[Quantity],tbl_Transactions[Product ID], A86,tbl_Transactions[Transaction Type],"IN")-SUMIFS(tbl_Transactions[Quantity],tbl_Transactions[Product ID], A86,tbl_Transactions[Transaction Type],"OUT")</f>
        <v>691</v>
      </c>
      <c r="E86" s="2">
        <v>2.5</v>
      </c>
      <c r="F86" s="2">
        <f t="shared" si="4"/>
        <v>1727.5</v>
      </c>
      <c r="G86" s="20" t="str">
        <f t="shared" si="5"/>
        <v>OK</v>
      </c>
    </row>
    <row r="87" spans="1:7" x14ac:dyDescent="0.3">
      <c r="A87" s="3" t="s">
        <v>1222</v>
      </c>
      <c r="B87" s="1" t="s">
        <v>25</v>
      </c>
      <c r="C87" s="1" t="s">
        <v>9</v>
      </c>
      <c r="D87" s="1">
        <f>SUMIFS(tbl_Transactions[Quantity],tbl_Transactions[Product ID], A87,tbl_Transactions[Transaction Type],"IN")-SUMIFS(tbl_Transactions[Quantity],tbl_Transactions[Product ID], A87,tbl_Transactions[Transaction Type],"OUT")</f>
        <v>288</v>
      </c>
      <c r="E87" s="2">
        <v>22.4</v>
      </c>
      <c r="F87" s="2">
        <f t="shared" si="4"/>
        <v>6451.2</v>
      </c>
      <c r="G87" s="20" t="str">
        <f t="shared" si="5"/>
        <v>OK</v>
      </c>
    </row>
    <row r="88" spans="1:7" x14ac:dyDescent="0.3">
      <c r="A88" s="3" t="s">
        <v>1223</v>
      </c>
      <c r="B88" s="1" t="s">
        <v>26</v>
      </c>
      <c r="C88" s="1" t="s">
        <v>2416</v>
      </c>
      <c r="D88" s="1">
        <f>SUMIFS(tbl_Transactions[Quantity],tbl_Transactions[Product ID], A88,tbl_Transactions[Transaction Type],"IN")-SUMIFS(tbl_Transactions[Quantity],tbl_Transactions[Product ID], A88,tbl_Transactions[Transaction Type],"OUT")</f>
        <v>314</v>
      </c>
      <c r="E88" s="2">
        <v>4.2</v>
      </c>
      <c r="F88" s="2">
        <f t="shared" si="4"/>
        <v>1318.8</v>
      </c>
      <c r="G88" s="20" t="str">
        <f t="shared" si="5"/>
        <v>OK</v>
      </c>
    </row>
    <row r="89" spans="1:7" x14ac:dyDescent="0.3">
      <c r="A89" s="3" t="s">
        <v>1224</v>
      </c>
      <c r="B89" s="1" t="s">
        <v>27</v>
      </c>
      <c r="C89" s="1" t="s">
        <v>9</v>
      </c>
      <c r="D89" s="1">
        <f>SUMIFS(tbl_Transactions[Quantity],tbl_Transactions[Product ID], A89,tbl_Transactions[Transaction Type],"IN")-SUMIFS(tbl_Transactions[Quantity],tbl_Transactions[Product ID], A89,tbl_Transactions[Transaction Type],"OUT")</f>
        <v>235</v>
      </c>
      <c r="E89" s="2">
        <v>19.5</v>
      </c>
      <c r="F89" s="2">
        <f t="shared" si="4"/>
        <v>4582.5</v>
      </c>
      <c r="G89" s="20" t="str">
        <f t="shared" si="5"/>
        <v>OK</v>
      </c>
    </row>
    <row r="90" spans="1:7" x14ac:dyDescent="0.3">
      <c r="A90" s="3" t="s">
        <v>1225</v>
      </c>
      <c r="B90" s="1" t="s">
        <v>28</v>
      </c>
      <c r="C90" s="1" t="s">
        <v>2416</v>
      </c>
      <c r="D90" s="1">
        <f>SUMIFS(tbl_Transactions[Quantity],tbl_Transactions[Product ID], A90,tbl_Transactions[Transaction Type],"IN")-SUMIFS(tbl_Transactions[Quantity],tbl_Transactions[Product ID], A90,tbl_Transactions[Transaction Type],"OUT")</f>
        <v>294</v>
      </c>
      <c r="E90" s="2">
        <v>2.1</v>
      </c>
      <c r="F90" s="2">
        <f t="shared" si="4"/>
        <v>617.4</v>
      </c>
      <c r="G90" s="20" t="str">
        <f t="shared" si="5"/>
        <v>OK</v>
      </c>
    </row>
    <row r="91" spans="1:7" x14ac:dyDescent="0.3">
      <c r="A91" s="3" t="s">
        <v>1226</v>
      </c>
      <c r="B91" s="1" t="s">
        <v>1071</v>
      </c>
      <c r="C91" s="1" t="s">
        <v>4</v>
      </c>
      <c r="D91" s="1">
        <f>SUMIFS(tbl_Transactions[Quantity],tbl_Transactions[Product ID], A91,tbl_Transactions[Transaction Type],"IN")-SUMIFS(tbl_Transactions[Quantity],tbl_Transactions[Product ID], A91,tbl_Transactions[Transaction Type],"OUT")</f>
        <v>325</v>
      </c>
      <c r="E91" s="2">
        <v>11.8</v>
      </c>
      <c r="F91" s="2">
        <f t="shared" si="4"/>
        <v>3835.0000000000005</v>
      </c>
      <c r="G91" s="20" t="str">
        <f t="shared" si="5"/>
        <v>OK</v>
      </c>
    </row>
    <row r="92" spans="1:7" x14ac:dyDescent="0.3">
      <c r="A92" s="3" t="s">
        <v>1227</v>
      </c>
      <c r="B92" s="1" t="s">
        <v>29</v>
      </c>
      <c r="C92" s="1" t="s">
        <v>2416</v>
      </c>
      <c r="D92" s="1">
        <f>SUMIFS(tbl_Transactions[Quantity],tbl_Transactions[Product ID], A92,tbl_Transactions[Transaction Type],"IN")-SUMIFS(tbl_Transactions[Quantity],tbl_Transactions[Product ID], A92,tbl_Transactions[Transaction Type],"OUT")</f>
        <v>410</v>
      </c>
      <c r="E92" s="2">
        <v>2.5</v>
      </c>
      <c r="F92" s="2">
        <f t="shared" si="4"/>
        <v>1025</v>
      </c>
      <c r="G92" s="20" t="str">
        <f t="shared" si="5"/>
        <v>OK</v>
      </c>
    </row>
    <row r="93" spans="1:7" x14ac:dyDescent="0.3">
      <c r="A93" s="3" t="s">
        <v>1228</v>
      </c>
      <c r="B93" s="1" t="s">
        <v>1072</v>
      </c>
      <c r="C93" s="1" t="s">
        <v>2417</v>
      </c>
      <c r="D93" s="1">
        <f>SUMIFS(tbl_Transactions[Quantity],tbl_Transactions[Product ID], A93,tbl_Transactions[Transaction Type],"IN")-SUMIFS(tbl_Transactions[Quantity],tbl_Transactions[Product ID], A93,tbl_Transactions[Transaction Type],"OUT")</f>
        <v>336</v>
      </c>
      <c r="E93" s="2">
        <v>8.9</v>
      </c>
      <c r="F93" s="2">
        <f t="shared" si="4"/>
        <v>2990.4</v>
      </c>
      <c r="G93" s="20" t="str">
        <f t="shared" si="5"/>
        <v>OK</v>
      </c>
    </row>
    <row r="94" spans="1:7" x14ac:dyDescent="0.3">
      <c r="A94" s="3" t="s">
        <v>1229</v>
      </c>
      <c r="B94" s="1" t="s">
        <v>1073</v>
      </c>
      <c r="C94" s="1" t="s">
        <v>2418</v>
      </c>
      <c r="D94" s="1">
        <f>SUMIFS(tbl_Transactions[Quantity],tbl_Transactions[Product ID], A94,tbl_Transactions[Transaction Type],"IN")-SUMIFS(tbl_Transactions[Quantity],tbl_Transactions[Product ID], A94,tbl_Transactions[Transaction Type],"OUT")</f>
        <v>0</v>
      </c>
      <c r="E94" s="2">
        <v>7.2</v>
      </c>
      <c r="F94" s="2">
        <f t="shared" si="4"/>
        <v>0</v>
      </c>
      <c r="G94" s="20" t="str">
        <f t="shared" si="5"/>
        <v>Out of Stock</v>
      </c>
    </row>
    <row r="95" spans="1:7" x14ac:dyDescent="0.3">
      <c r="A95" s="3" t="s">
        <v>1230</v>
      </c>
      <c r="B95" s="1" t="s">
        <v>1074</v>
      </c>
      <c r="C95" s="1" t="s">
        <v>13</v>
      </c>
      <c r="D95" s="1">
        <f>SUMIFS(tbl_Transactions[Quantity],tbl_Transactions[Product ID], A95,tbl_Transactions[Transaction Type],"IN")-SUMIFS(tbl_Transactions[Quantity],tbl_Transactions[Product ID], A95,tbl_Transactions[Transaction Type],"OUT")</f>
        <v>218</v>
      </c>
      <c r="E95" s="2">
        <v>4.8</v>
      </c>
      <c r="F95" s="2">
        <f t="shared" si="4"/>
        <v>1046.3999999999999</v>
      </c>
      <c r="G95" s="20" t="str">
        <f t="shared" si="5"/>
        <v>OK</v>
      </c>
    </row>
    <row r="96" spans="1:7" x14ac:dyDescent="0.3">
      <c r="A96" s="3" t="s">
        <v>1231</v>
      </c>
      <c r="B96" s="1" t="s">
        <v>1075</v>
      </c>
      <c r="C96" s="1" t="s">
        <v>2416</v>
      </c>
      <c r="D96" s="1">
        <f>SUMIFS(tbl_Transactions[Quantity],tbl_Transactions[Product ID], A96,tbl_Transactions[Transaction Type],"IN")-SUMIFS(tbl_Transactions[Quantity],tbl_Transactions[Product ID], A96,tbl_Transactions[Transaction Type],"OUT")</f>
        <v>973</v>
      </c>
      <c r="E96" s="2">
        <v>2.9</v>
      </c>
      <c r="F96" s="2">
        <f t="shared" si="4"/>
        <v>2821.7</v>
      </c>
      <c r="G96" s="20" t="str">
        <f t="shared" si="5"/>
        <v>OK</v>
      </c>
    </row>
    <row r="97" spans="1:7" x14ac:dyDescent="0.3">
      <c r="A97" s="3" t="s">
        <v>1232</v>
      </c>
      <c r="B97" s="1" t="s">
        <v>30</v>
      </c>
      <c r="C97" s="1" t="s">
        <v>2416</v>
      </c>
      <c r="D97" s="1">
        <f>SUMIFS(tbl_Transactions[Quantity],tbl_Transactions[Product ID], A97,tbl_Transactions[Transaction Type],"IN")-SUMIFS(tbl_Transactions[Quantity],tbl_Transactions[Product ID], A97,tbl_Transactions[Transaction Type],"OUT")</f>
        <v>493</v>
      </c>
      <c r="E97" s="2">
        <v>3.2</v>
      </c>
      <c r="F97" s="2">
        <f t="shared" si="4"/>
        <v>1577.6000000000001</v>
      </c>
      <c r="G97" s="20" t="str">
        <f t="shared" si="5"/>
        <v>OK</v>
      </c>
    </row>
    <row r="98" spans="1:7" x14ac:dyDescent="0.3">
      <c r="A98" s="3" t="s">
        <v>1233</v>
      </c>
      <c r="B98" s="1" t="s">
        <v>31</v>
      </c>
      <c r="C98" s="1" t="s">
        <v>2416</v>
      </c>
      <c r="D98" s="1">
        <f>SUMIFS(tbl_Transactions[Quantity],tbl_Transactions[Product ID], A98,tbl_Transactions[Transaction Type],"IN")-SUMIFS(tbl_Transactions[Quantity],tbl_Transactions[Product ID], A98,tbl_Transactions[Transaction Type],"OUT")</f>
        <v>528</v>
      </c>
      <c r="E98" s="2">
        <v>2.15</v>
      </c>
      <c r="F98" s="2">
        <f t="shared" ref="F98:F122" si="6">IFERROR(D98*E98,0)</f>
        <v>1135.2</v>
      </c>
      <c r="G98" s="20" t="str">
        <f t="shared" ref="G98:G122" si="7">IF(D98&lt;=0,"Out of Stock",IF(D98&lt;100,"Low Stock","OK"))</f>
        <v>OK</v>
      </c>
    </row>
    <row r="99" spans="1:7" x14ac:dyDescent="0.3">
      <c r="A99" s="3" t="s">
        <v>1234</v>
      </c>
      <c r="B99" s="1" t="s">
        <v>1076</v>
      </c>
      <c r="C99" s="1" t="s">
        <v>4</v>
      </c>
      <c r="D99" s="1">
        <f>SUMIFS(tbl_Transactions[Quantity],tbl_Transactions[Product ID], A99,tbl_Transactions[Transaction Type],"IN")-SUMIFS(tbl_Transactions[Quantity],tbl_Transactions[Product ID], A99,tbl_Transactions[Transaction Type],"OUT")</f>
        <v>383</v>
      </c>
      <c r="E99" s="2">
        <v>5.4</v>
      </c>
      <c r="F99" s="2">
        <f t="shared" si="6"/>
        <v>2068.2000000000003</v>
      </c>
      <c r="G99" s="20" t="str">
        <f t="shared" si="7"/>
        <v>OK</v>
      </c>
    </row>
    <row r="100" spans="1:7" x14ac:dyDescent="0.3">
      <c r="A100" s="3" t="s">
        <v>1235</v>
      </c>
      <c r="B100" s="1" t="s">
        <v>1077</v>
      </c>
      <c r="C100" s="1" t="s">
        <v>13</v>
      </c>
      <c r="D100" s="1">
        <f>SUMIFS(tbl_Transactions[Quantity],tbl_Transactions[Product ID], A100,tbl_Transactions[Transaction Type],"IN")-SUMIFS(tbl_Transactions[Quantity],tbl_Transactions[Product ID], A100,tbl_Transactions[Transaction Type],"OUT")</f>
        <v>684</v>
      </c>
      <c r="E100" s="2">
        <v>5.8</v>
      </c>
      <c r="F100" s="2">
        <f t="shared" si="6"/>
        <v>3967.2</v>
      </c>
      <c r="G100" s="20" t="str">
        <f t="shared" si="7"/>
        <v>OK</v>
      </c>
    </row>
    <row r="101" spans="1:7" x14ac:dyDescent="0.3">
      <c r="A101" s="3" t="s">
        <v>1236</v>
      </c>
      <c r="B101" s="1" t="s">
        <v>32</v>
      </c>
      <c r="C101" s="1" t="s">
        <v>2416</v>
      </c>
      <c r="D101" s="1">
        <f>SUMIFS(tbl_Transactions[Quantity],tbl_Transactions[Product ID], A101,tbl_Transactions[Transaction Type],"IN")-SUMIFS(tbl_Transactions[Quantity],tbl_Transactions[Product ID], A101,tbl_Transactions[Transaction Type],"OUT")</f>
        <v>379</v>
      </c>
      <c r="E101" s="2">
        <v>1.5</v>
      </c>
      <c r="F101" s="2">
        <f t="shared" si="6"/>
        <v>568.5</v>
      </c>
      <c r="G101" s="20" t="str">
        <f t="shared" si="7"/>
        <v>OK</v>
      </c>
    </row>
    <row r="102" spans="1:7" x14ac:dyDescent="0.3">
      <c r="A102" s="3" t="s">
        <v>1237</v>
      </c>
      <c r="B102" s="1" t="s">
        <v>33</v>
      </c>
      <c r="C102" s="1" t="s">
        <v>9</v>
      </c>
      <c r="D102" s="1">
        <f>SUMIFS(tbl_Transactions[Quantity],tbl_Transactions[Product ID], A102,tbl_Transactions[Transaction Type],"IN")-SUMIFS(tbl_Transactions[Quantity],tbl_Transactions[Product ID], A102,tbl_Transactions[Transaction Type],"OUT")</f>
        <v>577</v>
      </c>
      <c r="E102" s="2">
        <v>34.200000000000003</v>
      </c>
      <c r="F102" s="2">
        <f t="shared" si="6"/>
        <v>19733.400000000001</v>
      </c>
      <c r="G102" s="20" t="str">
        <f t="shared" si="7"/>
        <v>OK</v>
      </c>
    </row>
    <row r="103" spans="1:7" x14ac:dyDescent="0.3">
      <c r="A103" s="3" t="s">
        <v>1238</v>
      </c>
      <c r="B103" s="1" t="s">
        <v>1239</v>
      </c>
      <c r="C103" s="1" t="s">
        <v>9</v>
      </c>
      <c r="D103" s="1">
        <f>SUMIFS(tbl_Transactions[Quantity],tbl_Transactions[Product ID], A103,tbl_Transactions[Transaction Type],"IN")-SUMIFS(tbl_Transactions[Quantity],tbl_Transactions[Product ID], A103,tbl_Transactions[Transaction Type],"OUT")</f>
        <v>441</v>
      </c>
      <c r="E103" s="2">
        <v>21.5</v>
      </c>
      <c r="F103" s="2">
        <f t="shared" si="6"/>
        <v>9481.5</v>
      </c>
      <c r="G103" s="20" t="str">
        <f t="shared" si="7"/>
        <v>OK</v>
      </c>
    </row>
    <row r="104" spans="1:7" x14ac:dyDescent="0.3">
      <c r="A104" s="3" t="s">
        <v>1240</v>
      </c>
      <c r="B104" s="1" t="s">
        <v>1241</v>
      </c>
      <c r="C104" s="1" t="s">
        <v>9</v>
      </c>
      <c r="D104" s="1">
        <f>SUMIFS(tbl_Transactions[Quantity],tbl_Transactions[Product ID], A104,tbl_Transactions[Transaction Type],"IN")-SUMIFS(tbl_Transactions[Quantity],tbl_Transactions[Product ID], A104,tbl_Transactions[Transaction Type],"OUT")</f>
        <v>709</v>
      </c>
      <c r="E104" s="2">
        <v>26.8</v>
      </c>
      <c r="F104" s="2">
        <f t="shared" si="6"/>
        <v>19001.2</v>
      </c>
      <c r="G104" s="20" t="str">
        <f t="shared" si="7"/>
        <v>OK</v>
      </c>
    </row>
    <row r="105" spans="1:7" x14ac:dyDescent="0.3">
      <c r="A105" s="3" t="s">
        <v>1242</v>
      </c>
      <c r="B105" s="1" t="s">
        <v>1243</v>
      </c>
      <c r="C105" s="1" t="s">
        <v>9</v>
      </c>
      <c r="D105" s="1">
        <f>SUMIFS(tbl_Transactions[Quantity],tbl_Transactions[Product ID], A105,tbl_Transactions[Transaction Type],"IN")-SUMIFS(tbl_Transactions[Quantity],tbl_Transactions[Product ID], A105,tbl_Transactions[Transaction Type],"OUT")</f>
        <v>843</v>
      </c>
      <c r="E105" s="2">
        <v>14.2</v>
      </c>
      <c r="F105" s="2">
        <f t="shared" si="6"/>
        <v>11970.599999999999</v>
      </c>
      <c r="G105" s="20" t="str">
        <f t="shared" si="7"/>
        <v>OK</v>
      </c>
    </row>
    <row r="106" spans="1:7" x14ac:dyDescent="0.3">
      <c r="A106" s="3" t="s">
        <v>1244</v>
      </c>
      <c r="B106" s="1" t="s">
        <v>1245</v>
      </c>
      <c r="C106" s="1" t="s">
        <v>9</v>
      </c>
      <c r="D106" s="1">
        <f>SUMIFS(tbl_Transactions[Quantity],tbl_Transactions[Product ID], A106,tbl_Transactions[Transaction Type],"IN")-SUMIFS(tbl_Transactions[Quantity],tbl_Transactions[Product ID], A106,tbl_Transactions[Transaction Type],"OUT")</f>
        <v>617</v>
      </c>
      <c r="E106" s="2">
        <v>16.5</v>
      </c>
      <c r="F106" s="2">
        <f t="shared" si="6"/>
        <v>10180.5</v>
      </c>
      <c r="G106" s="20" t="str">
        <f t="shared" si="7"/>
        <v>OK</v>
      </c>
    </row>
    <row r="107" spans="1:7" x14ac:dyDescent="0.3">
      <c r="A107" s="3" t="s">
        <v>1246</v>
      </c>
      <c r="B107" s="1" t="s">
        <v>1247</v>
      </c>
      <c r="C107" s="1" t="s">
        <v>9</v>
      </c>
      <c r="D107" s="1">
        <f>SUMIFS(tbl_Transactions[Quantity],tbl_Transactions[Product ID], A107,tbl_Transactions[Transaction Type],"IN")-SUMIFS(tbl_Transactions[Quantity],tbl_Transactions[Product ID], A107,tbl_Transactions[Transaction Type],"OUT")</f>
        <v>576</v>
      </c>
      <c r="E107" s="2">
        <v>31.4</v>
      </c>
      <c r="F107" s="2">
        <f t="shared" si="6"/>
        <v>18086.399999999998</v>
      </c>
      <c r="G107" s="20" t="str">
        <f t="shared" si="7"/>
        <v>OK</v>
      </c>
    </row>
    <row r="108" spans="1:7" x14ac:dyDescent="0.3">
      <c r="A108" s="3" t="s">
        <v>1248</v>
      </c>
      <c r="B108" s="1" t="s">
        <v>22</v>
      </c>
      <c r="C108" s="1" t="s">
        <v>9</v>
      </c>
      <c r="D108" s="1">
        <f>SUMIFS(tbl_Transactions[Quantity],tbl_Transactions[Product ID], A108,tbl_Transactions[Transaction Type],"IN")-SUMIFS(tbl_Transactions[Quantity],tbl_Transactions[Product ID], A108,tbl_Transactions[Transaction Type],"OUT")</f>
        <v>319</v>
      </c>
      <c r="E108" s="2">
        <v>10.199999999999999</v>
      </c>
      <c r="F108" s="2">
        <f t="shared" si="6"/>
        <v>3253.7999999999997</v>
      </c>
      <c r="G108" s="20" t="str">
        <f t="shared" si="7"/>
        <v>OK</v>
      </c>
    </row>
    <row r="109" spans="1:7" x14ac:dyDescent="0.3">
      <c r="A109" s="3" t="s">
        <v>1249</v>
      </c>
      <c r="B109" s="1" t="s">
        <v>1250</v>
      </c>
      <c r="C109" s="1" t="s">
        <v>9</v>
      </c>
      <c r="D109" s="1">
        <f>SUMIFS(tbl_Transactions[Quantity],tbl_Transactions[Product ID], A109,tbl_Transactions[Transaction Type],"IN")-SUMIFS(tbl_Transactions[Quantity],tbl_Transactions[Product ID], A109,tbl_Transactions[Transaction Type],"OUT")</f>
        <v>437</v>
      </c>
      <c r="E109" s="2">
        <v>11.5</v>
      </c>
      <c r="F109" s="2">
        <f t="shared" si="6"/>
        <v>5025.5</v>
      </c>
      <c r="G109" s="20" t="str">
        <f t="shared" si="7"/>
        <v>OK</v>
      </c>
    </row>
    <row r="110" spans="1:7" x14ac:dyDescent="0.3">
      <c r="A110" s="3" t="s">
        <v>1251</v>
      </c>
      <c r="B110" s="1" t="s">
        <v>8</v>
      </c>
      <c r="C110" s="1" t="s">
        <v>9</v>
      </c>
      <c r="D110" s="1">
        <f>SUMIFS(tbl_Transactions[Quantity],tbl_Transactions[Product ID], A110,tbl_Transactions[Transaction Type],"IN")-SUMIFS(tbl_Transactions[Quantity],tbl_Transactions[Product ID], A110,tbl_Transactions[Transaction Type],"OUT")</f>
        <v>422</v>
      </c>
      <c r="E110" s="2">
        <v>28.4</v>
      </c>
      <c r="F110" s="2">
        <f t="shared" si="6"/>
        <v>11984.8</v>
      </c>
      <c r="G110" s="20" t="str">
        <f t="shared" si="7"/>
        <v>OK</v>
      </c>
    </row>
    <row r="111" spans="1:7" x14ac:dyDescent="0.3">
      <c r="A111" s="3" t="s">
        <v>1252</v>
      </c>
      <c r="B111" s="1" t="s">
        <v>1253</v>
      </c>
      <c r="C111" s="1" t="s">
        <v>9</v>
      </c>
      <c r="D111" s="1">
        <f>SUMIFS(tbl_Transactions[Quantity],tbl_Transactions[Product ID], A111,tbl_Transactions[Transaction Type],"IN")-SUMIFS(tbl_Transactions[Quantity],tbl_Transactions[Product ID], A111,tbl_Transactions[Transaction Type],"OUT")</f>
        <v>747</v>
      </c>
      <c r="E111" s="2">
        <v>36.5</v>
      </c>
      <c r="F111" s="2">
        <f t="shared" si="6"/>
        <v>27265.5</v>
      </c>
      <c r="G111" s="20" t="str">
        <f t="shared" si="7"/>
        <v>OK</v>
      </c>
    </row>
    <row r="112" spans="1:7" x14ac:dyDescent="0.3">
      <c r="A112" s="3" t="s">
        <v>1254</v>
      </c>
      <c r="B112" s="1" t="s">
        <v>1255</v>
      </c>
      <c r="C112" s="1" t="s">
        <v>9</v>
      </c>
      <c r="D112" s="1">
        <f>SUMIFS(tbl_Transactions[Quantity],tbl_Transactions[Product ID], A112,tbl_Transactions[Transaction Type],"IN")-SUMIFS(tbl_Transactions[Quantity],tbl_Transactions[Product ID], A112,tbl_Transactions[Transaction Type],"OUT")</f>
        <v>443</v>
      </c>
      <c r="E112" s="2">
        <v>15.8</v>
      </c>
      <c r="F112" s="2">
        <f t="shared" si="6"/>
        <v>6999.4000000000005</v>
      </c>
      <c r="G112" s="20" t="str">
        <f t="shared" si="7"/>
        <v>OK</v>
      </c>
    </row>
    <row r="113" spans="1:7" x14ac:dyDescent="0.3">
      <c r="A113" s="3" t="s">
        <v>1256</v>
      </c>
      <c r="B113" s="1" t="s">
        <v>1257</v>
      </c>
      <c r="C113" s="1" t="s">
        <v>9</v>
      </c>
      <c r="D113" s="1">
        <f>SUMIFS(tbl_Transactions[Quantity],tbl_Transactions[Product ID], A113,tbl_Transactions[Transaction Type],"IN")-SUMIFS(tbl_Transactions[Quantity],tbl_Transactions[Product ID], A113,tbl_Transactions[Transaction Type],"OUT")</f>
        <v>434</v>
      </c>
      <c r="E113" s="2">
        <v>41.2</v>
      </c>
      <c r="F113" s="2">
        <f t="shared" si="6"/>
        <v>17880.800000000003</v>
      </c>
      <c r="G113" s="20" t="str">
        <f t="shared" si="7"/>
        <v>OK</v>
      </c>
    </row>
    <row r="114" spans="1:7" x14ac:dyDescent="0.3">
      <c r="A114" s="3" t="s">
        <v>1258</v>
      </c>
      <c r="B114" s="1" t="s">
        <v>1259</v>
      </c>
      <c r="C114" s="1" t="s">
        <v>9</v>
      </c>
      <c r="D114" s="1">
        <f>SUMIFS(tbl_Transactions[Quantity],tbl_Transactions[Product ID], A114,tbl_Transactions[Transaction Type],"IN")-SUMIFS(tbl_Transactions[Quantity],tbl_Transactions[Product ID], A114,tbl_Transactions[Transaction Type],"OUT")</f>
        <v>847</v>
      </c>
      <c r="E114" s="2">
        <v>22.4</v>
      </c>
      <c r="F114" s="2">
        <f t="shared" si="6"/>
        <v>18972.8</v>
      </c>
      <c r="G114" s="20" t="str">
        <f t="shared" si="7"/>
        <v>OK</v>
      </c>
    </row>
    <row r="115" spans="1:7" x14ac:dyDescent="0.3">
      <c r="A115" s="3" t="s">
        <v>1260</v>
      </c>
      <c r="B115" s="1" t="s">
        <v>1261</v>
      </c>
      <c r="C115" s="1" t="s">
        <v>9</v>
      </c>
      <c r="D115" s="1">
        <f>SUMIFS(tbl_Transactions[Quantity],tbl_Transactions[Product ID], A115,tbl_Transactions[Transaction Type],"IN")-SUMIFS(tbl_Transactions[Quantity],tbl_Transactions[Product ID], A115,tbl_Transactions[Transaction Type],"OUT")</f>
        <v>235</v>
      </c>
      <c r="E115" s="2">
        <v>25.6</v>
      </c>
      <c r="F115" s="2">
        <f t="shared" si="6"/>
        <v>6016</v>
      </c>
      <c r="G115" s="20" t="str">
        <f t="shared" si="7"/>
        <v>OK</v>
      </c>
    </row>
    <row r="116" spans="1:7" x14ac:dyDescent="0.3">
      <c r="A116" s="3" t="s">
        <v>1262</v>
      </c>
      <c r="B116" s="1" t="s">
        <v>1158</v>
      </c>
      <c r="C116" s="1" t="s">
        <v>9</v>
      </c>
      <c r="D116" s="1">
        <f>SUMIFS(tbl_Transactions[Quantity],tbl_Transactions[Product ID], A116,tbl_Transactions[Transaction Type],"IN")-SUMIFS(tbl_Transactions[Quantity],tbl_Transactions[Product ID], A116,tbl_Transactions[Transaction Type],"OUT")</f>
        <v>844</v>
      </c>
      <c r="E116" s="2">
        <v>18.399999999999999</v>
      </c>
      <c r="F116" s="2">
        <f t="shared" si="6"/>
        <v>15529.599999999999</v>
      </c>
      <c r="G116" s="20" t="str">
        <f t="shared" si="7"/>
        <v>OK</v>
      </c>
    </row>
    <row r="117" spans="1:7" x14ac:dyDescent="0.3">
      <c r="A117" s="3" t="s">
        <v>1263</v>
      </c>
      <c r="B117" s="1" t="s">
        <v>1162</v>
      </c>
      <c r="C117" s="1" t="s">
        <v>9</v>
      </c>
      <c r="D117" s="1">
        <f>SUMIFS(tbl_Transactions[Quantity],tbl_Transactions[Product ID], A117,tbl_Transactions[Transaction Type],"IN")-SUMIFS(tbl_Transactions[Quantity],tbl_Transactions[Product ID], A117,tbl_Transactions[Transaction Type],"OUT")</f>
        <v>656</v>
      </c>
      <c r="E117" s="2">
        <v>32.799999999999997</v>
      </c>
      <c r="F117" s="2">
        <f t="shared" si="6"/>
        <v>21516.799999999999</v>
      </c>
      <c r="G117" s="20" t="str">
        <f t="shared" si="7"/>
        <v>OK</v>
      </c>
    </row>
    <row r="118" spans="1:7" x14ac:dyDescent="0.3">
      <c r="A118" s="3" t="s">
        <v>1264</v>
      </c>
      <c r="B118" s="1" t="s">
        <v>1152</v>
      </c>
      <c r="C118" s="1" t="s">
        <v>9</v>
      </c>
      <c r="D118" s="1">
        <f>SUMIFS(tbl_Transactions[Quantity],tbl_Transactions[Product ID], A118,tbl_Transactions[Transaction Type],"IN")-SUMIFS(tbl_Transactions[Quantity],tbl_Transactions[Product ID], A118,tbl_Transactions[Transaction Type],"OUT")</f>
        <v>0</v>
      </c>
      <c r="E118" s="2">
        <v>38.5</v>
      </c>
      <c r="F118" s="2">
        <f t="shared" si="6"/>
        <v>0</v>
      </c>
      <c r="G118" s="20" t="str">
        <f t="shared" si="7"/>
        <v>Out of Stock</v>
      </c>
    </row>
    <row r="119" spans="1:7" x14ac:dyDescent="0.3">
      <c r="A119" s="3" t="s">
        <v>1265</v>
      </c>
      <c r="B119" s="1" t="s">
        <v>1160</v>
      </c>
      <c r="C119" s="1" t="s">
        <v>9</v>
      </c>
      <c r="D119" s="1">
        <f>SUMIFS(tbl_Transactions[Quantity],tbl_Transactions[Product ID], A119,tbl_Transactions[Transaction Type],"IN")-SUMIFS(tbl_Transactions[Quantity],tbl_Transactions[Product ID], A119,tbl_Transactions[Transaction Type],"OUT")</f>
        <v>473</v>
      </c>
      <c r="E119" s="2">
        <v>14.5</v>
      </c>
      <c r="F119" s="2">
        <f t="shared" si="6"/>
        <v>6858.5</v>
      </c>
      <c r="G119" s="20" t="str">
        <f t="shared" si="7"/>
        <v>OK</v>
      </c>
    </row>
    <row r="120" spans="1:7" x14ac:dyDescent="0.3">
      <c r="A120" s="3" t="s">
        <v>1266</v>
      </c>
      <c r="B120" s="1" t="s">
        <v>1154</v>
      </c>
      <c r="C120" s="1" t="s">
        <v>9</v>
      </c>
      <c r="D120" s="1">
        <f>SUMIFS(tbl_Transactions[Quantity],tbl_Transactions[Product ID], A120,tbl_Transactions[Transaction Type],"IN")-SUMIFS(tbl_Transactions[Quantity],tbl_Transactions[Product ID], A120,tbl_Transactions[Transaction Type],"OUT")</f>
        <v>526</v>
      </c>
      <c r="E120" s="2">
        <v>44.2</v>
      </c>
      <c r="F120" s="2">
        <f t="shared" si="6"/>
        <v>23249.200000000001</v>
      </c>
      <c r="G120" s="20" t="str">
        <f t="shared" si="7"/>
        <v>OK</v>
      </c>
    </row>
    <row r="121" spans="1:7" x14ac:dyDescent="0.3">
      <c r="A121" s="3" t="s">
        <v>1267</v>
      </c>
      <c r="B121" s="1" t="s">
        <v>1135</v>
      </c>
      <c r="C121" s="1" t="s">
        <v>9</v>
      </c>
      <c r="D121" s="1">
        <f>SUMIFS(tbl_Transactions[Quantity],tbl_Transactions[Product ID], A121,tbl_Transactions[Transaction Type],"IN")-SUMIFS(tbl_Transactions[Quantity],tbl_Transactions[Product ID], A121,tbl_Transactions[Transaction Type],"OUT")</f>
        <v>271</v>
      </c>
      <c r="E121" s="2">
        <v>48.5</v>
      </c>
      <c r="F121" s="2">
        <f t="shared" si="6"/>
        <v>13143.5</v>
      </c>
      <c r="G121" s="20" t="str">
        <f t="shared" si="7"/>
        <v>OK</v>
      </c>
    </row>
    <row r="122" spans="1:7" x14ac:dyDescent="0.3">
      <c r="A122" s="4" t="s">
        <v>1268</v>
      </c>
      <c r="B122" s="5" t="s">
        <v>1149</v>
      </c>
      <c r="C122" s="5" t="s">
        <v>9</v>
      </c>
      <c r="D122" s="5">
        <f>SUMIFS(tbl_Transactions[Quantity],tbl_Transactions[Product ID], A122,tbl_Transactions[Transaction Type],"IN")-SUMIFS(tbl_Transactions[Quantity],tbl_Transactions[Product ID], A122,tbl_Transactions[Transaction Type],"OUT")</f>
        <v>91</v>
      </c>
      <c r="E122" s="6">
        <v>23.5</v>
      </c>
      <c r="F122" s="6">
        <f t="shared" si="6"/>
        <v>2138.5</v>
      </c>
      <c r="G122" s="21" t="str">
        <f t="shared" si="7"/>
        <v>Low Stock</v>
      </c>
    </row>
    <row r="123" spans="1:7" ht="15" customHeight="1" x14ac:dyDescent="0.3">
      <c r="A123" s="1"/>
      <c r="B123" s="1"/>
      <c r="C123" s="1"/>
      <c r="D123" s="1"/>
      <c r="E123" s="7"/>
      <c r="F123" s="7"/>
      <c r="G123" s="1"/>
    </row>
    <row r="129" spans="4:5" ht="31.8" hidden="1" customHeight="1" x14ac:dyDescent="0.3">
      <c r="D129" s="37" t="s">
        <v>2388</v>
      </c>
      <c r="E129" s="59">
        <f>SUBTOTAL(109,tbl_Inventory_Status[Inventory_Value])</f>
        <v>697161.50000000023</v>
      </c>
    </row>
    <row r="131" spans="4:5" ht="27" hidden="1" customHeight="1" x14ac:dyDescent="0.3">
      <c r="D131" s="39" t="s">
        <v>2389</v>
      </c>
      <c r="E131" s="39">
        <f>COUNTIF(tbl_Inventory_Status[Stock_Status], "out of stock")</f>
        <v>6</v>
      </c>
    </row>
  </sheetData>
  <conditionalFormatting sqref="G1:G1048576">
    <cfRule type="containsText" dxfId="4" priority="1" operator="containsText" text="low stock">
      <formula>NOT(ISERROR(SEARCH("low stock",G1)))</formula>
    </cfRule>
    <cfRule type="containsText" dxfId="3" priority="2" operator="containsText" text="out of stock">
      <formula>NOT(ISERROR(SEARCH("out of stock",G1)))</formula>
    </cfRule>
    <cfRule type="containsText" dxfId="2" priority="3" operator="containsText" text="ok">
      <formula>NOT(ISERROR(SEARCH("ok",G1)))</formula>
    </cfRule>
  </conditionalFormatting>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3DCBBC-A08E-40C0-B5E6-1BC242359160}">
  <sheetPr>
    <tabColor theme="9" tint="0.39997558519241921"/>
  </sheetPr>
  <dimension ref="A1:G991"/>
  <sheetViews>
    <sheetView workbookViewId="0">
      <selection activeCell="G75" sqref="G75"/>
    </sheetView>
  </sheetViews>
  <sheetFormatPr defaultRowHeight="14.4" x14ac:dyDescent="0.3"/>
  <cols>
    <col min="1" max="1" width="17.6640625" customWidth="1"/>
    <col min="2" max="2" width="24.21875" customWidth="1"/>
    <col min="3" max="3" width="17.6640625" style="10" customWidth="1"/>
    <col min="4" max="4" width="22.33203125" customWidth="1"/>
    <col min="6" max="6" width="12" customWidth="1"/>
  </cols>
  <sheetData>
    <row r="1" spans="1:7" ht="18" customHeight="1" x14ac:dyDescent="0.3">
      <c r="A1" s="17" t="s">
        <v>1033</v>
      </c>
      <c r="B1" s="17" t="s">
        <v>1038</v>
      </c>
      <c r="C1" s="19" t="s">
        <v>1039</v>
      </c>
      <c r="D1" s="17" t="s">
        <v>1040</v>
      </c>
    </row>
    <row r="2" spans="1:7" x14ac:dyDescent="0.3">
      <c r="A2" s="1" t="s">
        <v>1083</v>
      </c>
      <c r="B2" s="9">
        <f>IF(COUNTIFS(tbl_Transactions[Product ID], A2,tbl_Transactions[Transaction Type], "OUT")=0,0,ABS(SUMIFS(tbl_Transactions[Quantity],tbl_Transactions[Product ID], A2,tbl_Transactions[Transaction Type],"OUT"))/COUNTIFS(tbl_Transactions[Product ID], A2,tbl_Transactions[Transaction Type], "OUT"))</f>
        <v>69</v>
      </c>
      <c r="C2" s="9">
        <f>B2*30</f>
        <v>2070</v>
      </c>
      <c r="D2" s="1">
        <f>_xlfn.MAXIFS(tbl_Transactions[Quantity],tbl_Transactions[Product ID],A2,tbl_Transactions[Transaction Type],"OUT")</f>
        <v>80</v>
      </c>
    </row>
    <row r="3" spans="1:7" x14ac:dyDescent="0.3">
      <c r="A3" s="1" t="s">
        <v>1085</v>
      </c>
      <c r="B3" s="9">
        <f>IF(COUNTIFS(tbl_Transactions[Product ID], A3,tbl_Transactions[Transaction Type], "OUT")=0,0,ABS(SUMIFS(tbl_Transactions[Quantity],tbl_Transactions[Product ID], A3,tbl_Transactions[Transaction Type],"OUT"))/COUNTIFS(tbl_Transactions[Product ID], A3,tbl_Transactions[Transaction Type], "OUT"))</f>
        <v>56</v>
      </c>
      <c r="C3" s="9">
        <f t="shared" ref="C3:C66" si="0">B3*30</f>
        <v>1680</v>
      </c>
      <c r="D3" s="1">
        <f>_xlfn.MAXIFS(tbl_Transactions[Quantity],tbl_Transactions[Product ID],A3,tbl_Transactions[Transaction Type],"OUT")</f>
        <v>65</v>
      </c>
      <c r="F3" s="17"/>
      <c r="G3" s="18"/>
    </row>
    <row r="4" spans="1:7" x14ac:dyDescent="0.3">
      <c r="A4" s="1" t="s">
        <v>1087</v>
      </c>
      <c r="B4" s="9">
        <f>IF(COUNTIFS(tbl_Transactions[Product ID], A4,tbl_Transactions[Transaction Type], "OUT")=0,0,ABS(SUMIFS(tbl_Transactions[Quantity],tbl_Transactions[Product ID], A4,tbl_Transactions[Transaction Type],"OUT"))/COUNTIFS(tbl_Transactions[Product ID], A4,tbl_Transactions[Transaction Type], "OUT"))</f>
        <v>39</v>
      </c>
      <c r="C4" s="9">
        <f t="shared" si="0"/>
        <v>1170</v>
      </c>
      <c r="D4" s="1">
        <f>_xlfn.MAXIFS(tbl_Transactions[Quantity],tbl_Transactions[Product ID],A4,tbl_Transactions[Transaction Type],"OUT")</f>
        <v>47</v>
      </c>
    </row>
    <row r="5" spans="1:7" x14ac:dyDescent="0.3">
      <c r="A5" s="1" t="s">
        <v>1089</v>
      </c>
      <c r="B5" s="9">
        <f>IF(COUNTIFS(tbl_Transactions[Product ID], A5,tbl_Transactions[Transaction Type], "OUT")=0,0,ABS(SUMIFS(tbl_Transactions[Quantity],tbl_Transactions[Product ID], A5,tbl_Transactions[Transaction Type],"OUT"))/COUNTIFS(tbl_Transactions[Product ID], A5,tbl_Transactions[Transaction Type], "OUT"))</f>
        <v>60.666666666666664</v>
      </c>
      <c r="C5" s="9">
        <f t="shared" si="0"/>
        <v>1820</v>
      </c>
      <c r="D5" s="1">
        <f>_xlfn.MAXIFS(tbl_Transactions[Quantity],tbl_Transactions[Product ID],A5,tbl_Transactions[Transaction Type],"OUT")</f>
        <v>98</v>
      </c>
    </row>
    <row r="6" spans="1:7" x14ac:dyDescent="0.3">
      <c r="A6" s="1" t="s">
        <v>1090</v>
      </c>
      <c r="B6" s="9">
        <f>IF(COUNTIFS(tbl_Transactions[Product ID], A6,tbl_Transactions[Transaction Type], "OUT")=0,0,ABS(SUMIFS(tbl_Transactions[Quantity],tbl_Transactions[Product ID], A6,tbl_Transactions[Transaction Type],"OUT"))/COUNTIFS(tbl_Transactions[Product ID], A6,tbl_Transactions[Transaction Type], "OUT"))</f>
        <v>57.75</v>
      </c>
      <c r="C6" s="9">
        <f t="shared" si="0"/>
        <v>1732.5</v>
      </c>
      <c r="D6" s="1">
        <f>_xlfn.MAXIFS(tbl_Transactions[Quantity],tbl_Transactions[Product ID],A6,tbl_Transactions[Transaction Type],"OUT")</f>
        <v>94</v>
      </c>
    </row>
    <row r="7" spans="1:7" x14ac:dyDescent="0.3">
      <c r="A7" s="1" t="s">
        <v>1091</v>
      </c>
      <c r="B7" s="9">
        <f>IF(COUNTIFS(tbl_Transactions[Product ID], A7,tbl_Transactions[Transaction Type], "OUT")=0,0,ABS(SUMIFS(tbl_Transactions[Quantity],tbl_Transactions[Product ID], A7,tbl_Transactions[Transaction Type],"OUT"))/COUNTIFS(tbl_Transactions[Product ID], A7,tbl_Transactions[Transaction Type], "OUT"))</f>
        <v>61.333333333333336</v>
      </c>
      <c r="C7" s="9">
        <f t="shared" si="0"/>
        <v>1840</v>
      </c>
      <c r="D7" s="1">
        <f>_xlfn.MAXIFS(tbl_Transactions[Quantity],tbl_Transactions[Product ID],A7,tbl_Transactions[Transaction Type],"OUT")</f>
        <v>100</v>
      </c>
      <c r="F7" s="8"/>
    </row>
    <row r="8" spans="1:7" x14ac:dyDescent="0.3">
      <c r="A8" s="1" t="s">
        <v>1093</v>
      </c>
      <c r="B8" s="9">
        <f>IF(COUNTIFS(tbl_Transactions[Product ID], A8,tbl_Transactions[Transaction Type], "OUT")=0,0,ABS(SUMIFS(tbl_Transactions[Quantity],tbl_Transactions[Product ID], A8,tbl_Transactions[Transaction Type],"OUT"))/COUNTIFS(tbl_Transactions[Product ID], A8,tbl_Transactions[Transaction Type], "OUT"))</f>
        <v>22.5</v>
      </c>
      <c r="C8" s="9">
        <f t="shared" si="0"/>
        <v>675</v>
      </c>
      <c r="D8" s="1">
        <f>_xlfn.MAXIFS(tbl_Transactions[Quantity],tbl_Transactions[Product ID],A8,tbl_Transactions[Transaction Type],"OUT")</f>
        <v>34</v>
      </c>
    </row>
    <row r="9" spans="1:7" x14ac:dyDescent="0.3">
      <c r="A9" s="1" t="s">
        <v>1095</v>
      </c>
      <c r="B9" s="9">
        <f>IF(COUNTIFS(tbl_Transactions[Product ID], A9,tbl_Transactions[Transaction Type], "OUT")=0,0,ABS(SUMIFS(tbl_Transactions[Quantity],tbl_Transactions[Product ID], A9,tbl_Transactions[Transaction Type],"OUT"))/COUNTIFS(tbl_Transactions[Product ID], A9,tbl_Transactions[Transaction Type], "OUT"))</f>
        <v>48.666666666666664</v>
      </c>
      <c r="C9" s="9">
        <f t="shared" si="0"/>
        <v>1460</v>
      </c>
      <c r="D9" s="1">
        <f>_xlfn.MAXIFS(tbl_Transactions[Quantity],tbl_Transactions[Product ID],A9,tbl_Transactions[Transaction Type],"OUT")</f>
        <v>93</v>
      </c>
    </row>
    <row r="10" spans="1:7" x14ac:dyDescent="0.3">
      <c r="A10" s="1" t="s">
        <v>1097</v>
      </c>
      <c r="B10" s="9">
        <f>IF(COUNTIFS(tbl_Transactions[Product ID], A10,tbl_Transactions[Transaction Type], "OUT")=0,0,ABS(SUMIFS(tbl_Transactions[Quantity],tbl_Transactions[Product ID], A10,tbl_Transactions[Transaction Type],"OUT"))/COUNTIFS(tbl_Transactions[Product ID], A10,tbl_Transactions[Transaction Type], "OUT"))</f>
        <v>81.333333333333329</v>
      </c>
      <c r="C10" s="9">
        <f t="shared" si="0"/>
        <v>2440</v>
      </c>
      <c r="D10" s="1">
        <f>_xlfn.MAXIFS(tbl_Transactions[Quantity],tbl_Transactions[Product ID],A10,tbl_Transactions[Transaction Type],"OUT")</f>
        <v>85</v>
      </c>
    </row>
    <row r="11" spans="1:7" x14ac:dyDescent="0.3">
      <c r="A11" s="1" t="s">
        <v>1099</v>
      </c>
      <c r="B11" s="9">
        <f>IF(COUNTIFS(tbl_Transactions[Product ID], A11,tbl_Transactions[Transaction Type], "OUT")=0,0,ABS(SUMIFS(tbl_Transactions[Quantity],tbl_Transactions[Product ID], A11,tbl_Transactions[Transaction Type],"OUT"))/COUNTIFS(tbl_Transactions[Product ID], A11,tbl_Transactions[Transaction Type], "OUT"))</f>
        <v>51.428571428571431</v>
      </c>
      <c r="C11" s="9">
        <f t="shared" si="0"/>
        <v>1542.8571428571429</v>
      </c>
      <c r="D11" s="1">
        <f>_xlfn.MAXIFS(tbl_Transactions[Quantity],tbl_Transactions[Product ID],A11,tbl_Transactions[Transaction Type],"OUT")</f>
        <v>79</v>
      </c>
    </row>
    <row r="12" spans="1:7" x14ac:dyDescent="0.3">
      <c r="A12" s="1" t="s">
        <v>1101</v>
      </c>
      <c r="B12" s="9">
        <f>IF(COUNTIFS(tbl_Transactions[Product ID], A12,tbl_Transactions[Transaction Type], "OUT")=0,0,ABS(SUMIFS(tbl_Transactions[Quantity],tbl_Transactions[Product ID], A12,tbl_Transactions[Transaction Type],"OUT"))/COUNTIFS(tbl_Transactions[Product ID], A12,tbl_Transactions[Transaction Type], "OUT"))</f>
        <v>41.5</v>
      </c>
      <c r="C12" s="9">
        <f t="shared" si="0"/>
        <v>1245</v>
      </c>
      <c r="D12" s="1">
        <f>_xlfn.MAXIFS(tbl_Transactions[Quantity],tbl_Transactions[Product ID],A12,tbl_Transactions[Transaction Type],"OUT")</f>
        <v>98</v>
      </c>
    </row>
    <row r="13" spans="1:7" x14ac:dyDescent="0.3">
      <c r="A13" s="1" t="s">
        <v>1102</v>
      </c>
      <c r="B13" s="9">
        <f>IF(COUNTIFS(tbl_Transactions[Product ID], A13,tbl_Transactions[Transaction Type], "OUT")=0,0,ABS(SUMIFS(tbl_Transactions[Quantity],tbl_Transactions[Product ID], A13,tbl_Transactions[Transaction Type],"OUT"))/COUNTIFS(tbl_Transactions[Product ID], A13,tbl_Transactions[Transaction Type], "OUT"))</f>
        <v>47.6</v>
      </c>
      <c r="C13" s="9">
        <f t="shared" si="0"/>
        <v>1428</v>
      </c>
      <c r="D13" s="1">
        <f>_xlfn.MAXIFS(tbl_Transactions[Quantity],tbl_Transactions[Product ID],A13,tbl_Transactions[Transaction Type],"OUT")</f>
        <v>95</v>
      </c>
    </row>
    <row r="14" spans="1:7" x14ac:dyDescent="0.3">
      <c r="A14" s="1" t="s">
        <v>1104</v>
      </c>
      <c r="B14" s="9">
        <f>IF(COUNTIFS(tbl_Transactions[Product ID], A14,tbl_Transactions[Transaction Type], "OUT")=0,0,ABS(SUMIFS(tbl_Transactions[Quantity],tbl_Transactions[Product ID], A14,tbl_Transactions[Transaction Type],"OUT"))/COUNTIFS(tbl_Transactions[Product ID], A14,tbl_Transactions[Transaction Type], "OUT"))</f>
        <v>37</v>
      </c>
      <c r="C14" s="9">
        <f t="shared" si="0"/>
        <v>1110</v>
      </c>
      <c r="D14" s="1">
        <f>_xlfn.MAXIFS(tbl_Transactions[Quantity],tbl_Transactions[Product ID],A14,tbl_Transactions[Transaction Type],"OUT")</f>
        <v>60</v>
      </c>
    </row>
    <row r="15" spans="1:7" x14ac:dyDescent="0.3">
      <c r="A15" s="1" t="s">
        <v>1106</v>
      </c>
      <c r="B15" s="9">
        <f>IF(COUNTIFS(tbl_Transactions[Product ID], A15,tbl_Transactions[Transaction Type], "OUT")=0,0,ABS(SUMIFS(tbl_Transactions[Quantity],tbl_Transactions[Product ID], A15,tbl_Transactions[Transaction Type],"OUT"))/COUNTIFS(tbl_Transactions[Product ID], A15,tbl_Transactions[Transaction Type], "OUT"))</f>
        <v>51.666666666666664</v>
      </c>
      <c r="C15" s="9">
        <f t="shared" si="0"/>
        <v>1550</v>
      </c>
      <c r="D15" s="1">
        <f>_xlfn.MAXIFS(tbl_Transactions[Quantity],tbl_Transactions[Product ID],A15,tbl_Transactions[Transaction Type],"OUT")</f>
        <v>71</v>
      </c>
    </row>
    <row r="16" spans="1:7" x14ac:dyDescent="0.3">
      <c r="A16" s="1" t="s">
        <v>1108</v>
      </c>
      <c r="B16" s="9">
        <f>IF(COUNTIFS(tbl_Transactions[Product ID], A16,tbl_Transactions[Transaction Type], "OUT")=0,0,ABS(SUMIFS(tbl_Transactions[Quantity],tbl_Transactions[Product ID], A16,tbl_Transactions[Transaction Type],"OUT"))/COUNTIFS(tbl_Transactions[Product ID], A16,tbl_Transactions[Transaction Type], "OUT"))</f>
        <v>36.666666666666664</v>
      </c>
      <c r="C16" s="9">
        <f t="shared" si="0"/>
        <v>1100</v>
      </c>
      <c r="D16" s="1">
        <f>_xlfn.MAXIFS(tbl_Transactions[Quantity],tbl_Transactions[Product ID],A16,tbl_Transactions[Transaction Type],"OUT")</f>
        <v>68</v>
      </c>
    </row>
    <row r="17" spans="1:4" x14ac:dyDescent="0.3">
      <c r="A17" s="1" t="s">
        <v>1109</v>
      </c>
      <c r="B17" s="9">
        <f>IF(COUNTIFS(tbl_Transactions[Product ID], A17,tbl_Transactions[Transaction Type], "OUT")=0,0,ABS(SUMIFS(tbl_Transactions[Quantity],tbl_Transactions[Product ID], A17,tbl_Transactions[Transaction Type],"OUT"))/COUNTIFS(tbl_Transactions[Product ID], A17,tbl_Transactions[Transaction Type], "OUT"))</f>
        <v>39</v>
      </c>
      <c r="C17" s="9">
        <f t="shared" si="0"/>
        <v>1170</v>
      </c>
      <c r="D17" s="1">
        <f>_xlfn.MAXIFS(tbl_Transactions[Quantity],tbl_Transactions[Product ID],A17,tbl_Transactions[Transaction Type],"OUT")</f>
        <v>41</v>
      </c>
    </row>
    <row r="18" spans="1:4" x14ac:dyDescent="0.3">
      <c r="A18" s="1" t="s">
        <v>1110</v>
      </c>
      <c r="B18" s="9">
        <f>IF(COUNTIFS(tbl_Transactions[Product ID], A18,tbl_Transactions[Transaction Type], "OUT")=0,0,ABS(SUMIFS(tbl_Transactions[Quantity],tbl_Transactions[Product ID], A18,tbl_Transactions[Transaction Type],"OUT"))/COUNTIFS(tbl_Transactions[Product ID], A18,tbl_Transactions[Transaction Type], "OUT"))</f>
        <v>49</v>
      </c>
      <c r="C18" s="9">
        <f t="shared" si="0"/>
        <v>1470</v>
      </c>
      <c r="D18" s="1">
        <f>_xlfn.MAXIFS(tbl_Transactions[Quantity],tbl_Transactions[Product ID],A18,tbl_Transactions[Transaction Type],"OUT")</f>
        <v>76</v>
      </c>
    </row>
    <row r="19" spans="1:4" x14ac:dyDescent="0.3">
      <c r="A19" s="1" t="s">
        <v>1111</v>
      </c>
      <c r="B19" s="9">
        <f>IF(COUNTIFS(tbl_Transactions[Product ID], A19,tbl_Transactions[Transaction Type], "OUT")=0,0,ABS(SUMIFS(tbl_Transactions[Quantity],tbl_Transactions[Product ID], A19,tbl_Transactions[Transaction Type],"OUT"))/COUNTIFS(tbl_Transactions[Product ID], A19,tbl_Transactions[Transaction Type], "OUT"))</f>
        <v>78.333333333333329</v>
      </c>
      <c r="C19" s="9">
        <f t="shared" si="0"/>
        <v>2350</v>
      </c>
      <c r="D19" s="1">
        <f>_xlfn.MAXIFS(tbl_Transactions[Quantity],tbl_Transactions[Product ID],A19,tbl_Transactions[Transaction Type],"OUT")</f>
        <v>99</v>
      </c>
    </row>
    <row r="20" spans="1:4" x14ac:dyDescent="0.3">
      <c r="A20" s="1" t="s">
        <v>1112</v>
      </c>
      <c r="B20" s="9">
        <f>IF(COUNTIFS(tbl_Transactions[Product ID], A20,tbl_Transactions[Transaction Type], "OUT")=0,0,ABS(SUMIFS(tbl_Transactions[Quantity],tbl_Transactions[Product ID], A20,tbl_Transactions[Transaction Type],"OUT"))/COUNTIFS(tbl_Transactions[Product ID], A20,tbl_Transactions[Transaction Type], "OUT"))</f>
        <v>63.285714285714285</v>
      </c>
      <c r="C20" s="9">
        <f t="shared" si="0"/>
        <v>1898.5714285714284</v>
      </c>
      <c r="D20" s="1">
        <f>_xlfn.MAXIFS(tbl_Transactions[Quantity],tbl_Transactions[Product ID],A20,tbl_Transactions[Transaction Type],"OUT")</f>
        <v>82</v>
      </c>
    </row>
    <row r="21" spans="1:4" x14ac:dyDescent="0.3">
      <c r="A21" s="1" t="s">
        <v>1113</v>
      </c>
      <c r="B21" s="9">
        <f>IF(COUNTIFS(tbl_Transactions[Product ID], A21,tbl_Transactions[Transaction Type], "OUT")=0,0,ABS(SUMIFS(tbl_Transactions[Quantity],tbl_Transactions[Product ID], A21,tbl_Transactions[Transaction Type],"OUT"))/COUNTIFS(tbl_Transactions[Product ID], A21,tbl_Transactions[Transaction Type], "OUT"))</f>
        <v>51.25</v>
      </c>
      <c r="C21" s="9">
        <f t="shared" si="0"/>
        <v>1537.5</v>
      </c>
      <c r="D21" s="1">
        <f>_xlfn.MAXIFS(tbl_Transactions[Quantity],tbl_Transactions[Product ID],A21,tbl_Transactions[Transaction Type],"OUT")</f>
        <v>76</v>
      </c>
    </row>
    <row r="22" spans="1:4" x14ac:dyDescent="0.3">
      <c r="A22" s="1" t="s">
        <v>1115</v>
      </c>
      <c r="B22" s="9">
        <f>IF(COUNTIFS(tbl_Transactions[Product ID], A22,tbl_Transactions[Transaction Type], "OUT")=0,0,ABS(SUMIFS(tbl_Transactions[Quantity],tbl_Transactions[Product ID], A22,tbl_Transactions[Transaction Type],"OUT"))/COUNTIFS(tbl_Transactions[Product ID], A22,tbl_Transactions[Transaction Type], "OUT"))</f>
        <v>35.5</v>
      </c>
      <c r="C22" s="9">
        <f t="shared" si="0"/>
        <v>1065</v>
      </c>
      <c r="D22" s="1">
        <f>_xlfn.MAXIFS(tbl_Transactions[Quantity],tbl_Transactions[Product ID],A22,tbl_Transactions[Transaction Type],"OUT")</f>
        <v>40</v>
      </c>
    </row>
    <row r="23" spans="1:4" x14ac:dyDescent="0.3">
      <c r="A23" s="1" t="s">
        <v>1117</v>
      </c>
      <c r="B23" s="9">
        <f>IF(COUNTIFS(tbl_Transactions[Product ID], A23,tbl_Transactions[Transaction Type], "OUT")=0,0,ABS(SUMIFS(tbl_Transactions[Quantity],tbl_Transactions[Product ID], A23,tbl_Transactions[Transaction Type],"OUT"))/COUNTIFS(tbl_Transactions[Product ID], A23,tbl_Transactions[Transaction Type], "OUT"))</f>
        <v>62.666666666666664</v>
      </c>
      <c r="C23" s="9">
        <f t="shared" si="0"/>
        <v>1880</v>
      </c>
      <c r="D23" s="1">
        <f>_xlfn.MAXIFS(tbl_Transactions[Quantity],tbl_Transactions[Product ID],A23,tbl_Transactions[Transaction Type],"OUT")</f>
        <v>98</v>
      </c>
    </row>
    <row r="24" spans="1:4" x14ac:dyDescent="0.3">
      <c r="A24" s="1" t="s">
        <v>1120</v>
      </c>
      <c r="B24" s="9">
        <f>IF(COUNTIFS(tbl_Transactions[Product ID], A24,tbl_Transactions[Transaction Type], "OUT")=0,0,ABS(SUMIFS(tbl_Transactions[Quantity],tbl_Transactions[Product ID], A24,tbl_Transactions[Transaction Type],"OUT"))/COUNTIFS(tbl_Transactions[Product ID], A24,tbl_Transactions[Transaction Type], "OUT"))</f>
        <v>72.166666666666671</v>
      </c>
      <c r="C24" s="9">
        <f t="shared" si="0"/>
        <v>2165</v>
      </c>
      <c r="D24" s="1">
        <f>_xlfn.MAXIFS(tbl_Transactions[Quantity],tbl_Transactions[Product ID],A24,tbl_Transactions[Transaction Type],"OUT")</f>
        <v>97</v>
      </c>
    </row>
    <row r="25" spans="1:4" x14ac:dyDescent="0.3">
      <c r="A25" s="1" t="s">
        <v>1122</v>
      </c>
      <c r="B25" s="9">
        <f>IF(COUNTIFS(tbl_Transactions[Product ID], A25,tbl_Transactions[Transaction Type], "OUT")=0,0,ABS(SUMIFS(tbl_Transactions[Quantity],tbl_Transactions[Product ID], A25,tbl_Transactions[Transaction Type],"OUT"))/COUNTIFS(tbl_Transactions[Product ID], A25,tbl_Transactions[Transaction Type], "OUT"))</f>
        <v>41</v>
      </c>
      <c r="C25" s="9">
        <f t="shared" si="0"/>
        <v>1230</v>
      </c>
      <c r="D25" s="1">
        <f>_xlfn.MAXIFS(tbl_Transactions[Quantity],tbl_Transactions[Product ID],A25,tbl_Transactions[Transaction Type],"OUT")</f>
        <v>96</v>
      </c>
    </row>
    <row r="26" spans="1:4" x14ac:dyDescent="0.3">
      <c r="A26" s="1" t="s">
        <v>1123</v>
      </c>
      <c r="B26" s="9">
        <f>IF(COUNTIFS(tbl_Transactions[Product ID], A26,tbl_Transactions[Transaction Type], "OUT")=0,0,ABS(SUMIFS(tbl_Transactions[Quantity],tbl_Transactions[Product ID], A26,tbl_Transactions[Transaction Type],"OUT"))/COUNTIFS(tbl_Transactions[Product ID], A26,tbl_Transactions[Transaction Type], "OUT"))</f>
        <v>50.4</v>
      </c>
      <c r="C26" s="9">
        <f t="shared" si="0"/>
        <v>1512</v>
      </c>
      <c r="D26" s="1">
        <f>_xlfn.MAXIFS(tbl_Transactions[Quantity],tbl_Transactions[Product ID],A26,tbl_Transactions[Transaction Type],"OUT")</f>
        <v>80</v>
      </c>
    </row>
    <row r="27" spans="1:4" x14ac:dyDescent="0.3">
      <c r="A27" s="1" t="s">
        <v>1126</v>
      </c>
      <c r="B27" s="9">
        <f>IF(COUNTIFS(tbl_Transactions[Product ID], A27,tbl_Transactions[Transaction Type], "OUT")=0,0,ABS(SUMIFS(tbl_Transactions[Quantity],tbl_Transactions[Product ID], A27,tbl_Transactions[Transaction Type],"OUT"))/COUNTIFS(tbl_Transactions[Product ID], A27,tbl_Transactions[Transaction Type], "OUT"))</f>
        <v>63</v>
      </c>
      <c r="C27" s="9">
        <f t="shared" si="0"/>
        <v>1890</v>
      </c>
      <c r="D27" s="1">
        <f>_xlfn.MAXIFS(tbl_Transactions[Quantity],tbl_Transactions[Product ID],A27,tbl_Transactions[Transaction Type],"OUT")</f>
        <v>85</v>
      </c>
    </row>
    <row r="28" spans="1:4" x14ac:dyDescent="0.3">
      <c r="A28" s="1" t="s">
        <v>1129</v>
      </c>
      <c r="B28" s="9">
        <f>IF(COUNTIFS(tbl_Transactions[Product ID], A28,tbl_Transactions[Transaction Type], "OUT")=0,0,ABS(SUMIFS(tbl_Transactions[Quantity],tbl_Transactions[Product ID], A28,tbl_Transactions[Transaction Type],"OUT"))/COUNTIFS(tbl_Transactions[Product ID], A28,tbl_Transactions[Transaction Type], "OUT"))</f>
        <v>50.833333333333336</v>
      </c>
      <c r="C28" s="9">
        <f t="shared" si="0"/>
        <v>1525</v>
      </c>
      <c r="D28" s="1">
        <f>_xlfn.MAXIFS(tbl_Transactions[Quantity],tbl_Transactions[Product ID],A28,tbl_Transactions[Transaction Type],"OUT")</f>
        <v>92</v>
      </c>
    </row>
    <row r="29" spans="1:4" x14ac:dyDescent="0.3">
      <c r="A29" s="1" t="s">
        <v>1130</v>
      </c>
      <c r="B29" s="9">
        <f>IF(COUNTIFS(tbl_Transactions[Product ID], A29,tbl_Transactions[Transaction Type], "OUT")=0,0,ABS(SUMIFS(tbl_Transactions[Quantity],tbl_Transactions[Product ID], A29,tbl_Transactions[Transaction Type],"OUT"))/COUNTIFS(tbl_Transactions[Product ID], A29,tbl_Transactions[Transaction Type], "OUT"))</f>
        <v>36.5</v>
      </c>
      <c r="C29" s="9">
        <f t="shared" si="0"/>
        <v>1095</v>
      </c>
      <c r="D29" s="1">
        <f>_xlfn.MAXIFS(tbl_Transactions[Quantity],tbl_Transactions[Product ID],A29,tbl_Transactions[Transaction Type],"OUT")</f>
        <v>38</v>
      </c>
    </row>
    <row r="30" spans="1:4" x14ac:dyDescent="0.3">
      <c r="A30" s="1" t="s">
        <v>1132</v>
      </c>
      <c r="B30" s="9">
        <f>IF(COUNTIFS(tbl_Transactions[Product ID], A30,tbl_Transactions[Transaction Type], "OUT")=0,0,ABS(SUMIFS(tbl_Transactions[Quantity],tbl_Transactions[Product ID], A30,tbl_Transactions[Transaction Type],"OUT"))/COUNTIFS(tbl_Transactions[Product ID], A30,tbl_Transactions[Transaction Type], "OUT"))</f>
        <v>64.666666666666671</v>
      </c>
      <c r="C30" s="9">
        <f t="shared" si="0"/>
        <v>1940.0000000000002</v>
      </c>
      <c r="D30" s="1">
        <f>_xlfn.MAXIFS(tbl_Transactions[Quantity],tbl_Transactions[Product ID],A30,tbl_Transactions[Transaction Type],"OUT")</f>
        <v>90</v>
      </c>
    </row>
    <row r="31" spans="1:4" x14ac:dyDescent="0.3">
      <c r="A31" s="1" t="s">
        <v>1134</v>
      </c>
      <c r="B31" s="9">
        <f>IF(COUNTIFS(tbl_Transactions[Product ID], A31,tbl_Transactions[Transaction Type], "OUT")=0,0,ABS(SUMIFS(tbl_Transactions[Quantity],tbl_Transactions[Product ID], A31,tbl_Transactions[Transaction Type],"OUT"))/COUNTIFS(tbl_Transactions[Product ID], A31,tbl_Transactions[Transaction Type], "OUT"))</f>
        <v>45.25</v>
      </c>
      <c r="C31" s="9">
        <f t="shared" si="0"/>
        <v>1357.5</v>
      </c>
      <c r="D31" s="1">
        <f>_xlfn.MAXIFS(tbl_Transactions[Quantity],tbl_Transactions[Product ID],A31,tbl_Transactions[Transaction Type],"OUT")</f>
        <v>89</v>
      </c>
    </row>
    <row r="32" spans="1:4" x14ac:dyDescent="0.3">
      <c r="A32" s="1" t="s">
        <v>1136</v>
      </c>
      <c r="B32" s="9">
        <f>IF(COUNTIFS(tbl_Transactions[Product ID], A32,tbl_Transactions[Transaction Type], "OUT")=0,0,ABS(SUMIFS(tbl_Transactions[Quantity],tbl_Transactions[Product ID], A32,tbl_Transactions[Transaction Type],"OUT"))/COUNTIFS(tbl_Transactions[Product ID], A32,tbl_Transactions[Transaction Type], "OUT"))</f>
        <v>36.5</v>
      </c>
      <c r="C32" s="9">
        <f t="shared" si="0"/>
        <v>1095</v>
      </c>
      <c r="D32" s="1">
        <f>_xlfn.MAXIFS(tbl_Transactions[Quantity],tbl_Transactions[Product ID],A32,tbl_Transactions[Transaction Type],"OUT")</f>
        <v>90</v>
      </c>
    </row>
    <row r="33" spans="1:4" x14ac:dyDescent="0.3">
      <c r="A33" s="1" t="s">
        <v>1138</v>
      </c>
      <c r="B33" s="9">
        <f>IF(COUNTIFS(tbl_Transactions[Product ID], A33,tbl_Transactions[Transaction Type], "OUT")=0,0,ABS(SUMIFS(tbl_Transactions[Quantity],tbl_Transactions[Product ID], A33,tbl_Transactions[Transaction Type],"OUT"))/COUNTIFS(tbl_Transactions[Product ID], A33,tbl_Transactions[Transaction Type], "OUT"))</f>
        <v>48.333333333333336</v>
      </c>
      <c r="C33" s="9">
        <f t="shared" si="0"/>
        <v>1450</v>
      </c>
      <c r="D33" s="1">
        <f>_xlfn.MAXIFS(tbl_Transactions[Quantity],tbl_Transactions[Product ID],A33,tbl_Transactions[Transaction Type],"OUT")</f>
        <v>74</v>
      </c>
    </row>
    <row r="34" spans="1:4" x14ac:dyDescent="0.3">
      <c r="A34" s="1" t="s">
        <v>1141</v>
      </c>
      <c r="B34" s="9">
        <f>IF(COUNTIFS(tbl_Transactions[Product ID], A34,tbl_Transactions[Transaction Type], "OUT")=0,0,ABS(SUMIFS(tbl_Transactions[Quantity],tbl_Transactions[Product ID], A34,tbl_Transactions[Transaction Type],"OUT"))/COUNTIFS(tbl_Transactions[Product ID], A34,tbl_Transactions[Transaction Type], "OUT"))</f>
        <v>78</v>
      </c>
      <c r="C34" s="9">
        <f t="shared" si="0"/>
        <v>2340</v>
      </c>
      <c r="D34" s="1">
        <f>_xlfn.MAXIFS(tbl_Transactions[Quantity],tbl_Transactions[Product ID],A34,tbl_Transactions[Transaction Type],"OUT")</f>
        <v>97</v>
      </c>
    </row>
    <row r="35" spans="1:4" x14ac:dyDescent="0.3">
      <c r="A35" s="1" t="s">
        <v>1142</v>
      </c>
      <c r="B35" s="9">
        <f>IF(COUNTIFS(tbl_Transactions[Product ID], A35,tbl_Transactions[Transaction Type], "OUT")=0,0,ABS(SUMIFS(tbl_Transactions[Quantity],tbl_Transactions[Product ID], A35,tbl_Transactions[Transaction Type],"OUT"))/COUNTIFS(tbl_Transactions[Product ID], A35,tbl_Transactions[Transaction Type], "OUT"))</f>
        <v>55</v>
      </c>
      <c r="C35" s="9">
        <f t="shared" si="0"/>
        <v>1650</v>
      </c>
      <c r="D35" s="1">
        <f>_xlfn.MAXIFS(tbl_Transactions[Quantity],tbl_Transactions[Product ID],A35,tbl_Transactions[Transaction Type],"OUT")</f>
        <v>98</v>
      </c>
    </row>
    <row r="36" spans="1:4" x14ac:dyDescent="0.3">
      <c r="A36" s="1" t="s">
        <v>1145</v>
      </c>
      <c r="B36" s="9">
        <f>IF(COUNTIFS(tbl_Transactions[Product ID], A36,tbl_Transactions[Transaction Type], "OUT")=0,0,ABS(SUMIFS(tbl_Transactions[Quantity],tbl_Transactions[Product ID], A36,tbl_Transactions[Transaction Type],"OUT"))/COUNTIFS(tbl_Transactions[Product ID], A36,tbl_Transactions[Transaction Type], "OUT"))</f>
        <v>62.8</v>
      </c>
      <c r="C36" s="9">
        <f t="shared" si="0"/>
        <v>1884</v>
      </c>
      <c r="D36" s="1">
        <f>_xlfn.MAXIFS(tbl_Transactions[Quantity],tbl_Transactions[Product ID],A36,tbl_Transactions[Transaction Type],"OUT")</f>
        <v>96</v>
      </c>
    </row>
    <row r="37" spans="1:4" x14ac:dyDescent="0.3">
      <c r="A37" s="1" t="s">
        <v>1146</v>
      </c>
      <c r="B37" s="9">
        <f>IF(COUNTIFS(tbl_Transactions[Product ID], A37,tbl_Transactions[Transaction Type], "OUT")=0,0,ABS(SUMIFS(tbl_Transactions[Quantity],tbl_Transactions[Product ID], A37,tbl_Transactions[Transaction Type],"OUT"))/COUNTIFS(tbl_Transactions[Product ID], A37,tbl_Transactions[Transaction Type], "OUT"))</f>
        <v>45</v>
      </c>
      <c r="C37" s="9">
        <f t="shared" si="0"/>
        <v>1350</v>
      </c>
      <c r="D37" s="1">
        <f>_xlfn.MAXIFS(tbl_Transactions[Quantity],tbl_Transactions[Product ID],A37,tbl_Transactions[Transaction Type],"OUT")</f>
        <v>50</v>
      </c>
    </row>
    <row r="38" spans="1:4" x14ac:dyDescent="0.3">
      <c r="A38" s="1" t="s">
        <v>1147</v>
      </c>
      <c r="B38" s="9">
        <f>IF(COUNTIFS(tbl_Transactions[Product ID], A38,tbl_Transactions[Transaction Type], "OUT")=0,0,ABS(SUMIFS(tbl_Transactions[Quantity],tbl_Transactions[Product ID], A38,tbl_Transactions[Transaction Type],"OUT"))/COUNTIFS(tbl_Transactions[Product ID], A38,tbl_Transactions[Transaction Type], "OUT"))</f>
        <v>85.166666666666671</v>
      </c>
      <c r="C38" s="9">
        <f t="shared" si="0"/>
        <v>2555</v>
      </c>
      <c r="D38" s="1">
        <f>_xlfn.MAXIFS(tbl_Transactions[Quantity],tbl_Transactions[Product ID],A38,tbl_Transactions[Transaction Type],"OUT")</f>
        <v>99</v>
      </c>
    </row>
    <row r="39" spans="1:4" x14ac:dyDescent="0.3">
      <c r="A39" s="1" t="s">
        <v>1148</v>
      </c>
      <c r="B39" s="9">
        <f>IF(COUNTIFS(tbl_Transactions[Product ID], A39,tbl_Transactions[Transaction Type], "OUT")=0,0,ABS(SUMIFS(tbl_Transactions[Quantity],tbl_Transactions[Product ID], A39,tbl_Transactions[Transaction Type],"OUT"))/COUNTIFS(tbl_Transactions[Product ID], A39,tbl_Transactions[Transaction Type], "OUT"))</f>
        <v>70.333333333333329</v>
      </c>
      <c r="C39" s="9">
        <f t="shared" si="0"/>
        <v>2110</v>
      </c>
      <c r="D39" s="1">
        <f>_xlfn.MAXIFS(tbl_Transactions[Quantity],tbl_Transactions[Product ID],A39,tbl_Transactions[Transaction Type],"OUT")</f>
        <v>93</v>
      </c>
    </row>
    <row r="40" spans="1:4" x14ac:dyDescent="0.3">
      <c r="A40" s="1" t="s">
        <v>1150</v>
      </c>
      <c r="B40" s="9">
        <f>IF(COUNTIFS(tbl_Transactions[Product ID], A40,tbl_Transactions[Transaction Type], "OUT")=0,0,ABS(SUMIFS(tbl_Transactions[Quantity],tbl_Transactions[Product ID], A40,tbl_Transactions[Transaction Type],"OUT"))/COUNTIFS(tbl_Transactions[Product ID], A40,tbl_Transactions[Transaction Type], "OUT"))</f>
        <v>59.375</v>
      </c>
      <c r="C40" s="9">
        <f t="shared" si="0"/>
        <v>1781.25</v>
      </c>
      <c r="D40" s="1">
        <f>_xlfn.MAXIFS(tbl_Transactions[Quantity],tbl_Transactions[Product ID],A40,tbl_Transactions[Transaction Type],"OUT")</f>
        <v>89</v>
      </c>
    </row>
    <row r="41" spans="1:4" x14ac:dyDescent="0.3">
      <c r="A41" s="1" t="s">
        <v>1151</v>
      </c>
      <c r="B41" s="9">
        <f>IF(COUNTIFS(tbl_Transactions[Product ID], A41,tbl_Transactions[Transaction Type], "OUT")=0,0,ABS(SUMIFS(tbl_Transactions[Quantity],tbl_Transactions[Product ID], A41,tbl_Transactions[Transaction Type],"OUT"))/COUNTIFS(tbl_Transactions[Product ID], A41,tbl_Transactions[Transaction Type], "OUT"))</f>
        <v>55</v>
      </c>
      <c r="C41" s="9">
        <f t="shared" si="0"/>
        <v>1650</v>
      </c>
      <c r="D41" s="1">
        <f>_xlfn.MAXIFS(tbl_Transactions[Quantity],tbl_Transactions[Product ID],A41,tbl_Transactions[Transaction Type],"OUT")</f>
        <v>58</v>
      </c>
    </row>
    <row r="42" spans="1:4" x14ac:dyDescent="0.3">
      <c r="A42" s="1" t="s">
        <v>1153</v>
      </c>
      <c r="B42" s="9">
        <f>IF(COUNTIFS(tbl_Transactions[Product ID], A42,tbl_Transactions[Transaction Type], "OUT")=0,0,ABS(SUMIFS(tbl_Transactions[Quantity],tbl_Transactions[Product ID], A42,tbl_Transactions[Transaction Type],"OUT"))/COUNTIFS(tbl_Transactions[Product ID], A42,tbl_Transactions[Transaction Type], "OUT"))</f>
        <v>51.6</v>
      </c>
      <c r="C42" s="9">
        <f t="shared" si="0"/>
        <v>1548</v>
      </c>
      <c r="D42" s="1">
        <f>_xlfn.MAXIFS(tbl_Transactions[Quantity],tbl_Transactions[Product ID],A42,tbl_Transactions[Transaction Type],"OUT")</f>
        <v>88</v>
      </c>
    </row>
    <row r="43" spans="1:4" x14ac:dyDescent="0.3">
      <c r="A43" s="1" t="s">
        <v>1155</v>
      </c>
      <c r="B43" s="9">
        <f>IF(COUNTIFS(tbl_Transactions[Product ID], A43,tbl_Transactions[Transaction Type], "OUT")=0,0,ABS(SUMIFS(tbl_Transactions[Quantity],tbl_Transactions[Product ID], A43,tbl_Transactions[Transaction Type],"OUT"))/COUNTIFS(tbl_Transactions[Product ID], A43,tbl_Transactions[Transaction Type], "OUT"))</f>
        <v>46.333333333333336</v>
      </c>
      <c r="C43" s="9">
        <f t="shared" si="0"/>
        <v>1390</v>
      </c>
      <c r="D43" s="1">
        <f>_xlfn.MAXIFS(tbl_Transactions[Quantity],tbl_Transactions[Product ID],A43,tbl_Transactions[Transaction Type],"OUT")</f>
        <v>96</v>
      </c>
    </row>
    <row r="44" spans="1:4" x14ac:dyDescent="0.3">
      <c r="A44" s="1" t="s">
        <v>1156</v>
      </c>
      <c r="B44" s="9">
        <f>IF(COUNTIFS(tbl_Transactions[Product ID], A44,tbl_Transactions[Transaction Type], "OUT")=0,0,ABS(SUMIFS(tbl_Transactions[Quantity],tbl_Transactions[Product ID], A44,tbl_Transactions[Transaction Type],"OUT"))/COUNTIFS(tbl_Transactions[Product ID], A44,tbl_Transactions[Transaction Type], "OUT"))</f>
        <v>59.2</v>
      </c>
      <c r="C44" s="9">
        <f t="shared" si="0"/>
        <v>1776</v>
      </c>
      <c r="D44" s="1">
        <f>_xlfn.MAXIFS(tbl_Transactions[Quantity],tbl_Transactions[Product ID],A44,tbl_Transactions[Transaction Type],"OUT")</f>
        <v>90</v>
      </c>
    </row>
    <row r="45" spans="1:4" x14ac:dyDescent="0.3">
      <c r="A45" s="1" t="s">
        <v>1157</v>
      </c>
      <c r="B45" s="9">
        <f>IF(COUNTIFS(tbl_Transactions[Product ID], A45,tbl_Transactions[Transaction Type], "OUT")=0,0,ABS(SUMIFS(tbl_Transactions[Quantity],tbl_Transactions[Product ID], A45,tbl_Transactions[Transaction Type],"OUT"))/COUNTIFS(tbl_Transactions[Product ID], A45,tbl_Transactions[Transaction Type], "OUT"))</f>
        <v>39</v>
      </c>
      <c r="C45" s="9">
        <f t="shared" si="0"/>
        <v>1170</v>
      </c>
      <c r="D45" s="1">
        <f>_xlfn.MAXIFS(tbl_Transactions[Quantity],tbl_Transactions[Product ID],A45,tbl_Transactions[Transaction Type],"OUT")</f>
        <v>39</v>
      </c>
    </row>
    <row r="46" spans="1:4" x14ac:dyDescent="0.3">
      <c r="A46" s="1" t="s">
        <v>1159</v>
      </c>
      <c r="B46" s="9">
        <f>IF(COUNTIFS(tbl_Transactions[Product ID], A46,tbl_Transactions[Transaction Type], "OUT")=0,0,ABS(SUMIFS(tbl_Transactions[Quantity],tbl_Transactions[Product ID], A46,tbl_Transactions[Transaction Type],"OUT"))/COUNTIFS(tbl_Transactions[Product ID], A46,tbl_Transactions[Transaction Type], "OUT"))</f>
        <v>44.375</v>
      </c>
      <c r="C46" s="9">
        <f t="shared" si="0"/>
        <v>1331.25</v>
      </c>
      <c r="D46" s="1">
        <f>_xlfn.MAXIFS(tbl_Transactions[Quantity],tbl_Transactions[Product ID],A46,tbl_Transactions[Transaction Type],"OUT")</f>
        <v>91</v>
      </c>
    </row>
    <row r="47" spans="1:4" x14ac:dyDescent="0.3">
      <c r="A47" s="1" t="s">
        <v>1161</v>
      </c>
      <c r="B47" s="9">
        <f>IF(COUNTIFS(tbl_Transactions[Product ID], A47,tbl_Transactions[Transaction Type], "OUT")=0,0,ABS(SUMIFS(tbl_Transactions[Quantity],tbl_Transactions[Product ID], A47,tbl_Transactions[Transaction Type],"OUT"))/COUNTIFS(tbl_Transactions[Product ID], A47,tbl_Transactions[Transaction Type], "OUT"))</f>
        <v>76.2</v>
      </c>
      <c r="C47" s="9">
        <f t="shared" si="0"/>
        <v>2286</v>
      </c>
      <c r="D47" s="1">
        <f>_xlfn.MAXIFS(tbl_Transactions[Quantity],tbl_Transactions[Product ID],A47,tbl_Transactions[Transaction Type],"OUT")</f>
        <v>92</v>
      </c>
    </row>
    <row r="48" spans="1:4" x14ac:dyDescent="0.3">
      <c r="A48" s="1" t="s">
        <v>1163</v>
      </c>
      <c r="B48" s="9">
        <f>IF(COUNTIFS(tbl_Transactions[Product ID], A48,tbl_Transactions[Transaction Type], "OUT")=0,0,ABS(SUMIFS(tbl_Transactions[Quantity],tbl_Transactions[Product ID], A48,tbl_Transactions[Transaction Type],"OUT"))/COUNTIFS(tbl_Transactions[Product ID], A48,tbl_Transactions[Transaction Type], "OUT"))</f>
        <v>57</v>
      </c>
      <c r="C48" s="9">
        <f t="shared" si="0"/>
        <v>1710</v>
      </c>
      <c r="D48" s="1">
        <f>_xlfn.MAXIFS(tbl_Transactions[Quantity],tbl_Transactions[Product ID],A48,tbl_Transactions[Transaction Type],"OUT")</f>
        <v>88</v>
      </c>
    </row>
    <row r="49" spans="1:4" x14ac:dyDescent="0.3">
      <c r="A49" s="1" t="s">
        <v>1164</v>
      </c>
      <c r="B49" s="9">
        <f>IF(COUNTIFS(tbl_Transactions[Product ID], A49,tbl_Transactions[Transaction Type], "OUT")=0,0,ABS(SUMIFS(tbl_Transactions[Quantity],tbl_Transactions[Product ID], A49,tbl_Transactions[Transaction Type],"OUT"))/COUNTIFS(tbl_Transactions[Product ID], A49,tbl_Transactions[Transaction Type], "OUT"))</f>
        <v>53.666666666666664</v>
      </c>
      <c r="C49" s="9">
        <f t="shared" si="0"/>
        <v>1610</v>
      </c>
      <c r="D49" s="1">
        <f>_xlfn.MAXIFS(tbl_Transactions[Quantity],tbl_Transactions[Product ID],A49,tbl_Transactions[Transaction Type],"OUT")</f>
        <v>85</v>
      </c>
    </row>
    <row r="50" spans="1:4" x14ac:dyDescent="0.3">
      <c r="A50" s="1" t="s">
        <v>1165</v>
      </c>
      <c r="B50" s="9">
        <f>IF(COUNTIFS(tbl_Transactions[Product ID], A50,tbl_Transactions[Transaction Type], "OUT")=0,0,ABS(SUMIFS(tbl_Transactions[Quantity],tbl_Transactions[Product ID], A50,tbl_Transactions[Transaction Type],"OUT"))/COUNTIFS(tbl_Transactions[Product ID], A50,tbl_Transactions[Transaction Type], "OUT"))</f>
        <v>46.75</v>
      </c>
      <c r="C50" s="9">
        <f t="shared" si="0"/>
        <v>1402.5</v>
      </c>
      <c r="D50" s="1">
        <f>_xlfn.MAXIFS(tbl_Transactions[Quantity],tbl_Transactions[Product ID],A50,tbl_Transactions[Transaction Type],"OUT")</f>
        <v>84</v>
      </c>
    </row>
    <row r="51" spans="1:4" x14ac:dyDescent="0.3">
      <c r="A51" s="1" t="s">
        <v>1168</v>
      </c>
      <c r="B51" s="9">
        <f>IF(COUNTIFS(tbl_Transactions[Product ID], A51,tbl_Transactions[Transaction Type], "OUT")=0,0,ABS(SUMIFS(tbl_Transactions[Quantity],tbl_Transactions[Product ID], A51,tbl_Transactions[Transaction Type],"OUT"))/COUNTIFS(tbl_Transactions[Product ID], A51,tbl_Transactions[Transaction Type], "OUT"))</f>
        <v>56.75</v>
      </c>
      <c r="C51" s="9">
        <f t="shared" si="0"/>
        <v>1702.5</v>
      </c>
      <c r="D51" s="1">
        <f>_xlfn.MAXIFS(tbl_Transactions[Quantity],tbl_Transactions[Product ID],A51,tbl_Transactions[Transaction Type],"OUT")</f>
        <v>97</v>
      </c>
    </row>
    <row r="52" spans="1:4" x14ac:dyDescent="0.3">
      <c r="A52" s="1" t="s">
        <v>1170</v>
      </c>
      <c r="B52" s="9">
        <f>IF(COUNTIFS(tbl_Transactions[Product ID], A52,tbl_Transactions[Transaction Type], "OUT")=0,0,ABS(SUMIFS(tbl_Transactions[Quantity],tbl_Transactions[Product ID], A52,tbl_Transactions[Transaction Type],"OUT"))/COUNTIFS(tbl_Transactions[Product ID], A52,tbl_Transactions[Transaction Type], "OUT"))</f>
        <v>67</v>
      </c>
      <c r="C52" s="9">
        <f t="shared" si="0"/>
        <v>2010</v>
      </c>
      <c r="D52" s="1">
        <f>_xlfn.MAXIFS(tbl_Transactions[Quantity],tbl_Transactions[Product ID],A52,tbl_Transactions[Transaction Type],"OUT")</f>
        <v>90</v>
      </c>
    </row>
    <row r="53" spans="1:4" x14ac:dyDescent="0.3">
      <c r="A53" s="1" t="s">
        <v>1172</v>
      </c>
      <c r="B53" s="9">
        <f>IF(COUNTIFS(tbl_Transactions[Product ID], A53,tbl_Transactions[Transaction Type], "OUT")=0,0,ABS(SUMIFS(tbl_Transactions[Quantity],tbl_Transactions[Product ID], A53,tbl_Transactions[Transaction Type],"OUT"))/COUNTIFS(tbl_Transactions[Product ID], A53,tbl_Transactions[Transaction Type], "OUT"))</f>
        <v>87</v>
      </c>
      <c r="C53" s="9">
        <f t="shared" si="0"/>
        <v>2610</v>
      </c>
      <c r="D53" s="1">
        <f>_xlfn.MAXIFS(tbl_Transactions[Quantity],tbl_Transactions[Product ID],A53,tbl_Transactions[Transaction Type],"OUT")</f>
        <v>100</v>
      </c>
    </row>
    <row r="54" spans="1:4" x14ac:dyDescent="0.3">
      <c r="A54" s="1" t="s">
        <v>1173</v>
      </c>
      <c r="B54" s="9">
        <f>IF(COUNTIFS(tbl_Transactions[Product ID], A54,tbl_Transactions[Transaction Type], "OUT")=0,0,ABS(SUMIFS(tbl_Transactions[Quantity],tbl_Transactions[Product ID], A54,tbl_Transactions[Transaction Type],"OUT"))/COUNTIFS(tbl_Transactions[Product ID], A54,tbl_Transactions[Transaction Type], "OUT"))</f>
        <v>49.333333333333336</v>
      </c>
      <c r="C54" s="9">
        <f t="shared" si="0"/>
        <v>1480</v>
      </c>
      <c r="D54" s="1">
        <f>_xlfn.MAXIFS(tbl_Transactions[Quantity],tbl_Transactions[Product ID],A54,tbl_Transactions[Transaction Type],"OUT")</f>
        <v>65</v>
      </c>
    </row>
    <row r="55" spans="1:4" x14ac:dyDescent="0.3">
      <c r="A55" s="1" t="s">
        <v>1174</v>
      </c>
      <c r="B55" s="9">
        <f>IF(COUNTIFS(tbl_Transactions[Product ID], A55,tbl_Transactions[Transaction Type], "OUT")=0,0,ABS(SUMIFS(tbl_Transactions[Quantity],tbl_Transactions[Product ID], A55,tbl_Transactions[Transaction Type],"OUT"))/COUNTIFS(tbl_Transactions[Product ID], A55,tbl_Transactions[Transaction Type], "OUT"))</f>
        <v>56.833333333333336</v>
      </c>
      <c r="C55" s="9">
        <f t="shared" si="0"/>
        <v>1705</v>
      </c>
      <c r="D55" s="1">
        <f>_xlfn.MAXIFS(tbl_Transactions[Quantity],tbl_Transactions[Product ID],A55,tbl_Transactions[Transaction Type],"OUT")</f>
        <v>80</v>
      </c>
    </row>
    <row r="56" spans="1:4" x14ac:dyDescent="0.3">
      <c r="A56" s="1" t="s">
        <v>1176</v>
      </c>
      <c r="B56" s="9">
        <f>IF(COUNTIFS(tbl_Transactions[Product ID], A56,tbl_Transactions[Transaction Type], "OUT")=0,0,ABS(SUMIFS(tbl_Transactions[Quantity],tbl_Transactions[Product ID], A56,tbl_Transactions[Transaction Type],"OUT"))/COUNTIFS(tbl_Transactions[Product ID], A56,tbl_Transactions[Transaction Type], "OUT"))</f>
        <v>33.428571428571431</v>
      </c>
      <c r="C56" s="9">
        <f t="shared" si="0"/>
        <v>1002.8571428571429</v>
      </c>
      <c r="D56" s="1">
        <f>_xlfn.MAXIFS(tbl_Transactions[Quantity],tbl_Transactions[Product ID],A56,tbl_Transactions[Transaction Type],"OUT")</f>
        <v>92</v>
      </c>
    </row>
    <row r="57" spans="1:4" x14ac:dyDescent="0.3">
      <c r="A57" s="1" t="s">
        <v>1177</v>
      </c>
      <c r="B57" s="9">
        <f>IF(COUNTIFS(tbl_Transactions[Product ID], A57,tbl_Transactions[Transaction Type], "OUT")=0,0,ABS(SUMIFS(tbl_Transactions[Quantity],tbl_Transactions[Product ID], A57,tbl_Transactions[Transaction Type],"OUT"))/COUNTIFS(tbl_Transactions[Product ID], A57,tbl_Transactions[Transaction Type], "OUT"))</f>
        <v>68.75</v>
      </c>
      <c r="C57" s="9">
        <f t="shared" si="0"/>
        <v>2062.5</v>
      </c>
      <c r="D57" s="1">
        <f>_xlfn.MAXIFS(tbl_Transactions[Quantity],tbl_Transactions[Product ID],A57,tbl_Transactions[Transaction Type],"OUT")</f>
        <v>91</v>
      </c>
    </row>
    <row r="58" spans="1:4" x14ac:dyDescent="0.3">
      <c r="A58" s="1" t="s">
        <v>1179</v>
      </c>
      <c r="B58" s="9">
        <f>IF(COUNTIFS(tbl_Transactions[Product ID], A58,tbl_Transactions[Transaction Type], "OUT")=0,0,ABS(SUMIFS(tbl_Transactions[Quantity],tbl_Transactions[Product ID], A58,tbl_Transactions[Transaction Type],"OUT"))/COUNTIFS(tbl_Transactions[Product ID], A58,tbl_Transactions[Transaction Type], "OUT"))</f>
        <v>61.666666666666664</v>
      </c>
      <c r="C58" s="9">
        <f t="shared" si="0"/>
        <v>1850</v>
      </c>
      <c r="D58" s="1">
        <f>_xlfn.MAXIFS(tbl_Transactions[Quantity],tbl_Transactions[Product ID],A58,tbl_Transactions[Transaction Type],"OUT")</f>
        <v>84</v>
      </c>
    </row>
    <row r="59" spans="1:4" x14ac:dyDescent="0.3">
      <c r="A59" s="1" t="s">
        <v>1180</v>
      </c>
      <c r="B59" s="9">
        <f>IF(COUNTIFS(tbl_Transactions[Product ID], A59,tbl_Transactions[Transaction Type], "OUT")=0,0,ABS(SUMIFS(tbl_Transactions[Quantity],tbl_Transactions[Product ID], A59,tbl_Transactions[Transaction Type],"OUT"))/COUNTIFS(tbl_Transactions[Product ID], A59,tbl_Transactions[Transaction Type], "OUT"))</f>
        <v>65.666666666666671</v>
      </c>
      <c r="C59" s="9">
        <f t="shared" si="0"/>
        <v>1970.0000000000002</v>
      </c>
      <c r="D59" s="1">
        <f>_xlfn.MAXIFS(tbl_Transactions[Quantity],tbl_Transactions[Product ID],A59,tbl_Transactions[Transaction Type],"OUT")</f>
        <v>95</v>
      </c>
    </row>
    <row r="60" spans="1:4" x14ac:dyDescent="0.3">
      <c r="A60" s="1" t="s">
        <v>1181</v>
      </c>
      <c r="B60" s="9">
        <f>IF(COUNTIFS(tbl_Transactions[Product ID], A60,tbl_Transactions[Transaction Type], "OUT")=0,0,ABS(SUMIFS(tbl_Transactions[Quantity],tbl_Transactions[Product ID], A60,tbl_Transactions[Transaction Type],"OUT"))/COUNTIFS(tbl_Transactions[Product ID], A60,tbl_Transactions[Transaction Type], "OUT"))</f>
        <v>49.142857142857146</v>
      </c>
      <c r="C60" s="9">
        <f t="shared" si="0"/>
        <v>1474.2857142857144</v>
      </c>
      <c r="D60" s="1">
        <f>_xlfn.MAXIFS(tbl_Transactions[Quantity],tbl_Transactions[Product ID],A60,tbl_Transactions[Transaction Type],"OUT")</f>
        <v>76</v>
      </c>
    </row>
    <row r="61" spans="1:4" x14ac:dyDescent="0.3">
      <c r="A61" s="1" t="s">
        <v>1183</v>
      </c>
      <c r="B61" s="9">
        <f>IF(COUNTIFS(tbl_Transactions[Product ID], A61,tbl_Transactions[Transaction Type], "OUT")=0,0,ABS(SUMIFS(tbl_Transactions[Quantity],tbl_Transactions[Product ID], A61,tbl_Transactions[Transaction Type],"OUT"))/COUNTIFS(tbl_Transactions[Product ID], A61,tbl_Transactions[Transaction Type], "OUT"))</f>
        <v>60</v>
      </c>
      <c r="C61" s="9">
        <f t="shared" si="0"/>
        <v>1800</v>
      </c>
      <c r="D61" s="1">
        <f>_xlfn.MAXIFS(tbl_Transactions[Quantity],tbl_Transactions[Product ID],A61,tbl_Transactions[Transaction Type],"OUT")</f>
        <v>88</v>
      </c>
    </row>
    <row r="62" spans="1:4" x14ac:dyDescent="0.3">
      <c r="A62" s="1" t="s">
        <v>1185</v>
      </c>
      <c r="B62" s="9">
        <f>IF(COUNTIFS(tbl_Transactions[Product ID], A62,tbl_Transactions[Transaction Type], "OUT")=0,0,ABS(SUMIFS(tbl_Transactions[Quantity],tbl_Transactions[Product ID], A62,tbl_Transactions[Transaction Type],"OUT"))/COUNTIFS(tbl_Transactions[Product ID], A62,tbl_Transactions[Transaction Type], "OUT"))</f>
        <v>71</v>
      </c>
      <c r="C62" s="9">
        <f t="shared" si="0"/>
        <v>2130</v>
      </c>
      <c r="D62" s="1">
        <f>_xlfn.MAXIFS(tbl_Transactions[Quantity],tbl_Transactions[Product ID],A62,tbl_Transactions[Transaction Type],"OUT")</f>
        <v>93</v>
      </c>
    </row>
    <row r="63" spans="1:4" x14ac:dyDescent="0.3">
      <c r="A63" s="1" t="s">
        <v>1186</v>
      </c>
      <c r="B63" s="9">
        <f>IF(COUNTIFS(tbl_Transactions[Product ID], A63,tbl_Transactions[Transaction Type], "OUT")=0,0,ABS(SUMIFS(tbl_Transactions[Quantity],tbl_Transactions[Product ID], A63,tbl_Transactions[Transaction Type],"OUT"))/COUNTIFS(tbl_Transactions[Product ID], A63,tbl_Transactions[Transaction Type], "OUT"))</f>
        <v>49.6</v>
      </c>
      <c r="C63" s="9">
        <f t="shared" si="0"/>
        <v>1488</v>
      </c>
      <c r="D63" s="1">
        <f>_xlfn.MAXIFS(tbl_Transactions[Quantity],tbl_Transactions[Product ID],A63,tbl_Transactions[Transaction Type],"OUT")</f>
        <v>60</v>
      </c>
    </row>
    <row r="64" spans="1:4" x14ac:dyDescent="0.3">
      <c r="A64" s="1" t="s">
        <v>1187</v>
      </c>
      <c r="B64" s="9">
        <f>IF(COUNTIFS(tbl_Transactions[Product ID], A64,tbl_Transactions[Transaction Type], "OUT")=0,0,ABS(SUMIFS(tbl_Transactions[Quantity],tbl_Transactions[Product ID], A64,tbl_Transactions[Transaction Type],"OUT"))/COUNTIFS(tbl_Transactions[Product ID], A64,tbl_Transactions[Transaction Type], "OUT"))</f>
        <v>59</v>
      </c>
      <c r="C64" s="9">
        <f t="shared" si="0"/>
        <v>1770</v>
      </c>
      <c r="D64" s="1">
        <f>_xlfn.MAXIFS(tbl_Transactions[Quantity],tbl_Transactions[Product ID],A64,tbl_Transactions[Transaction Type],"OUT")</f>
        <v>76</v>
      </c>
    </row>
    <row r="65" spans="1:4" x14ac:dyDescent="0.3">
      <c r="A65" s="1" t="s">
        <v>1189</v>
      </c>
      <c r="B65" s="9">
        <f>IF(COUNTIFS(tbl_Transactions[Product ID], A65,tbl_Transactions[Transaction Type], "OUT")=0,0,ABS(SUMIFS(tbl_Transactions[Quantity],tbl_Transactions[Product ID], A65,tbl_Transactions[Transaction Type],"OUT"))/COUNTIFS(tbl_Transactions[Product ID], A65,tbl_Transactions[Transaction Type], "OUT"))</f>
        <v>54.25</v>
      </c>
      <c r="C65" s="9">
        <f t="shared" si="0"/>
        <v>1627.5</v>
      </c>
      <c r="D65" s="1">
        <f>_xlfn.MAXIFS(tbl_Transactions[Quantity],tbl_Transactions[Product ID],A65,tbl_Transactions[Transaction Type],"OUT")</f>
        <v>91</v>
      </c>
    </row>
    <row r="66" spans="1:4" x14ac:dyDescent="0.3">
      <c r="A66" s="1" t="s">
        <v>1190</v>
      </c>
      <c r="B66" s="9">
        <f>IF(COUNTIFS(tbl_Transactions[Product ID], A66,tbl_Transactions[Transaction Type], "OUT")=0,0,ABS(SUMIFS(tbl_Transactions[Quantity],tbl_Transactions[Product ID], A66,tbl_Transactions[Transaction Type],"OUT"))/COUNTIFS(tbl_Transactions[Product ID], A66,tbl_Transactions[Transaction Type], "OUT"))</f>
        <v>81.285714285714292</v>
      </c>
      <c r="C66" s="9">
        <f t="shared" si="0"/>
        <v>2438.5714285714289</v>
      </c>
      <c r="D66" s="1">
        <f>_xlfn.MAXIFS(tbl_Transactions[Quantity],tbl_Transactions[Product ID],A66,tbl_Transactions[Transaction Type],"OUT")</f>
        <v>98</v>
      </c>
    </row>
    <row r="67" spans="1:4" x14ac:dyDescent="0.3">
      <c r="A67" s="1" t="s">
        <v>1191</v>
      </c>
      <c r="B67" s="9">
        <f>IF(COUNTIFS(tbl_Transactions[Product ID], A67,tbl_Transactions[Transaction Type], "OUT")=0,0,ABS(SUMIFS(tbl_Transactions[Quantity],tbl_Transactions[Product ID], A67,tbl_Transactions[Transaction Type],"OUT"))/COUNTIFS(tbl_Transactions[Product ID], A67,tbl_Transactions[Transaction Type], "OUT"))</f>
        <v>56.25</v>
      </c>
      <c r="C67" s="9">
        <f t="shared" ref="C67:C122" si="1">B67*30</f>
        <v>1687.5</v>
      </c>
      <c r="D67" s="1">
        <f>_xlfn.MAXIFS(tbl_Transactions[Quantity],tbl_Transactions[Product ID],A67,tbl_Transactions[Transaction Type],"OUT")</f>
        <v>87</v>
      </c>
    </row>
    <row r="68" spans="1:4" x14ac:dyDescent="0.3">
      <c r="A68" s="1" t="s">
        <v>1193</v>
      </c>
      <c r="B68" s="9">
        <f>IF(COUNTIFS(tbl_Transactions[Product ID], A68,tbl_Transactions[Transaction Type], "OUT")=0,0,ABS(SUMIFS(tbl_Transactions[Quantity],tbl_Transactions[Product ID], A68,tbl_Transactions[Transaction Type],"OUT"))/COUNTIFS(tbl_Transactions[Product ID], A68,tbl_Transactions[Transaction Type], "OUT"))</f>
        <v>57</v>
      </c>
      <c r="C68" s="9">
        <f t="shared" si="1"/>
        <v>1710</v>
      </c>
      <c r="D68" s="1">
        <f>_xlfn.MAXIFS(tbl_Transactions[Quantity],tbl_Transactions[Product ID],A68,tbl_Transactions[Transaction Type],"OUT")</f>
        <v>64</v>
      </c>
    </row>
    <row r="69" spans="1:4" x14ac:dyDescent="0.3">
      <c r="A69" s="1" t="s">
        <v>1195</v>
      </c>
      <c r="B69" s="9">
        <f>IF(COUNTIFS(tbl_Transactions[Product ID], A69,tbl_Transactions[Transaction Type], "OUT")=0,0,ABS(SUMIFS(tbl_Transactions[Quantity],tbl_Transactions[Product ID], A69,tbl_Transactions[Transaction Type],"OUT"))/COUNTIFS(tbl_Transactions[Product ID], A69,tbl_Transactions[Transaction Type], "OUT"))</f>
        <v>54.875</v>
      </c>
      <c r="C69" s="9">
        <f t="shared" si="1"/>
        <v>1646.25</v>
      </c>
      <c r="D69" s="1">
        <f>_xlfn.MAXIFS(tbl_Transactions[Quantity],tbl_Transactions[Product ID],A69,tbl_Transactions[Transaction Type],"OUT")</f>
        <v>96</v>
      </c>
    </row>
    <row r="70" spans="1:4" x14ac:dyDescent="0.3">
      <c r="A70" s="1" t="s">
        <v>1197</v>
      </c>
      <c r="B70" s="9">
        <f>IF(COUNTIFS(tbl_Transactions[Product ID], A70,tbl_Transactions[Transaction Type], "OUT")=0,0,ABS(SUMIFS(tbl_Transactions[Quantity],tbl_Transactions[Product ID], A70,tbl_Transactions[Transaction Type],"OUT"))/COUNTIFS(tbl_Transactions[Product ID], A70,tbl_Transactions[Transaction Type], "OUT"))</f>
        <v>50.333333333333336</v>
      </c>
      <c r="C70" s="9">
        <f t="shared" si="1"/>
        <v>1510</v>
      </c>
      <c r="D70" s="1">
        <f>_xlfn.MAXIFS(tbl_Transactions[Quantity],tbl_Transactions[Product ID],A70,tbl_Transactions[Transaction Type],"OUT")</f>
        <v>85</v>
      </c>
    </row>
    <row r="71" spans="1:4" x14ac:dyDescent="0.3">
      <c r="A71" s="1" t="s">
        <v>1199</v>
      </c>
      <c r="B71" s="9">
        <f>IF(COUNTIFS(tbl_Transactions[Product ID], A71,tbl_Transactions[Transaction Type], "OUT")=0,0,ABS(SUMIFS(tbl_Transactions[Quantity],tbl_Transactions[Product ID], A71,tbl_Transactions[Transaction Type],"OUT"))/COUNTIFS(tbl_Transactions[Product ID], A71,tbl_Transactions[Transaction Type], "OUT"))</f>
        <v>53.166666666666664</v>
      </c>
      <c r="C71" s="9">
        <f t="shared" si="1"/>
        <v>1595</v>
      </c>
      <c r="D71" s="1">
        <f>_xlfn.MAXIFS(tbl_Transactions[Quantity],tbl_Transactions[Product ID],A71,tbl_Transactions[Transaction Type],"OUT")</f>
        <v>98</v>
      </c>
    </row>
    <row r="72" spans="1:4" x14ac:dyDescent="0.3">
      <c r="A72" s="1" t="s">
        <v>1201</v>
      </c>
      <c r="B72" s="9">
        <f>IF(COUNTIFS(tbl_Transactions[Product ID], A72,tbl_Transactions[Transaction Type], "OUT")=0,0,ABS(SUMIFS(tbl_Transactions[Quantity],tbl_Transactions[Product ID], A72,tbl_Transactions[Transaction Type],"OUT"))/COUNTIFS(tbl_Transactions[Product ID], A72,tbl_Transactions[Transaction Type], "OUT"))</f>
        <v>58</v>
      </c>
      <c r="C72" s="9">
        <f t="shared" si="1"/>
        <v>1740</v>
      </c>
      <c r="D72" s="1">
        <f>_xlfn.MAXIFS(tbl_Transactions[Quantity],tbl_Transactions[Product ID],A72,tbl_Transactions[Transaction Type],"OUT")</f>
        <v>73</v>
      </c>
    </row>
    <row r="73" spans="1:4" x14ac:dyDescent="0.3">
      <c r="A73" s="1" t="s">
        <v>1202</v>
      </c>
      <c r="B73" s="9">
        <f>IF(COUNTIFS(tbl_Transactions[Product ID], A73,tbl_Transactions[Transaction Type], "OUT")=0,0,ABS(SUMIFS(tbl_Transactions[Quantity],tbl_Transactions[Product ID], A73,tbl_Transactions[Transaction Type],"OUT"))/COUNTIFS(tbl_Transactions[Product ID], A73,tbl_Transactions[Transaction Type], "OUT"))</f>
        <v>58.222222222222221</v>
      </c>
      <c r="C73" s="9">
        <f t="shared" si="1"/>
        <v>1746.6666666666667</v>
      </c>
      <c r="D73" s="1">
        <f>_xlfn.MAXIFS(tbl_Transactions[Quantity],tbl_Transactions[Product ID],A73,tbl_Transactions[Transaction Type],"OUT")</f>
        <v>98</v>
      </c>
    </row>
    <row r="74" spans="1:4" x14ac:dyDescent="0.3">
      <c r="A74" s="1" t="s">
        <v>1203</v>
      </c>
      <c r="B74" s="9">
        <f>IF(COUNTIFS(tbl_Transactions[Product ID], A74,tbl_Transactions[Transaction Type], "OUT")=0,0,ABS(SUMIFS(tbl_Transactions[Quantity],tbl_Transactions[Product ID], A74,tbl_Transactions[Transaction Type],"OUT"))/COUNTIFS(tbl_Transactions[Product ID], A74,tbl_Transactions[Transaction Type], "OUT"))</f>
        <v>62.666666666666664</v>
      </c>
      <c r="C74" s="9">
        <f t="shared" si="1"/>
        <v>1880</v>
      </c>
      <c r="D74" s="1">
        <f>_xlfn.MAXIFS(tbl_Transactions[Quantity],tbl_Transactions[Product ID],A74,tbl_Transactions[Transaction Type],"OUT")</f>
        <v>97</v>
      </c>
    </row>
    <row r="75" spans="1:4" x14ac:dyDescent="0.3">
      <c r="A75" s="1" t="s">
        <v>1204</v>
      </c>
      <c r="B75" s="9">
        <f>IF(COUNTIFS(tbl_Transactions[Product ID], A75,tbl_Transactions[Transaction Type], "OUT")=0,0,ABS(SUMIFS(tbl_Transactions[Quantity],tbl_Transactions[Product ID], A75,tbl_Transactions[Transaction Type],"OUT"))/COUNTIFS(tbl_Transactions[Product ID], A75,tbl_Transactions[Transaction Type], "OUT"))</f>
        <v>77</v>
      </c>
      <c r="C75" s="9">
        <f t="shared" si="1"/>
        <v>2310</v>
      </c>
      <c r="D75" s="1">
        <f>_xlfn.MAXIFS(tbl_Transactions[Quantity],tbl_Transactions[Product ID],A75,tbl_Transactions[Transaction Type],"OUT")</f>
        <v>87</v>
      </c>
    </row>
    <row r="76" spans="1:4" x14ac:dyDescent="0.3">
      <c r="A76" s="1" t="s">
        <v>1206</v>
      </c>
      <c r="B76" s="9">
        <f>IF(COUNTIFS(tbl_Transactions[Product ID], A76,tbl_Transactions[Transaction Type], "OUT")=0,0,ABS(SUMIFS(tbl_Transactions[Quantity],tbl_Transactions[Product ID], A76,tbl_Transactions[Transaction Type],"OUT"))/COUNTIFS(tbl_Transactions[Product ID], A76,tbl_Transactions[Transaction Type], "OUT"))</f>
        <v>52.5</v>
      </c>
      <c r="C76" s="9">
        <f t="shared" si="1"/>
        <v>1575</v>
      </c>
      <c r="D76" s="1">
        <f>_xlfn.MAXIFS(tbl_Transactions[Quantity],tbl_Transactions[Product ID],A76,tbl_Transactions[Transaction Type],"OUT")</f>
        <v>69</v>
      </c>
    </row>
    <row r="77" spans="1:4" x14ac:dyDescent="0.3">
      <c r="A77" s="1" t="s">
        <v>1208</v>
      </c>
      <c r="B77" s="9">
        <f>IF(COUNTIFS(tbl_Transactions[Product ID], A77,tbl_Transactions[Transaction Type], "OUT")=0,0,ABS(SUMIFS(tbl_Transactions[Quantity],tbl_Transactions[Product ID], A77,tbl_Transactions[Transaction Type],"OUT"))/COUNTIFS(tbl_Transactions[Product ID], A77,tbl_Transactions[Transaction Type], "OUT"))</f>
        <v>42.666666666666664</v>
      </c>
      <c r="C77" s="9">
        <f t="shared" si="1"/>
        <v>1280</v>
      </c>
      <c r="D77" s="1">
        <f>_xlfn.MAXIFS(tbl_Transactions[Quantity],tbl_Transactions[Product ID],A77,tbl_Transactions[Transaction Type],"OUT")</f>
        <v>75</v>
      </c>
    </row>
    <row r="78" spans="1:4" x14ac:dyDescent="0.3">
      <c r="A78" s="1" t="s">
        <v>1210</v>
      </c>
      <c r="B78" s="9">
        <f>IF(COUNTIFS(tbl_Transactions[Product ID], A78,tbl_Transactions[Transaction Type], "OUT")=0,0,ABS(SUMIFS(tbl_Transactions[Quantity],tbl_Transactions[Product ID], A78,tbl_Transactions[Transaction Type],"OUT"))/COUNTIFS(tbl_Transactions[Product ID], A78,tbl_Transactions[Transaction Type], "OUT"))</f>
        <v>66.25</v>
      </c>
      <c r="C78" s="9">
        <f t="shared" si="1"/>
        <v>1987.5</v>
      </c>
      <c r="D78" s="1">
        <f>_xlfn.MAXIFS(tbl_Transactions[Quantity],tbl_Transactions[Product ID],A78,tbl_Transactions[Transaction Type],"OUT")</f>
        <v>94</v>
      </c>
    </row>
    <row r="79" spans="1:4" x14ac:dyDescent="0.3">
      <c r="A79" s="1" t="s">
        <v>1212</v>
      </c>
      <c r="B79" s="9">
        <f>IF(COUNTIFS(tbl_Transactions[Product ID], A79,tbl_Transactions[Transaction Type], "OUT")=0,0,ABS(SUMIFS(tbl_Transactions[Quantity],tbl_Transactions[Product ID], A79,tbl_Transactions[Transaction Type],"OUT"))/COUNTIFS(tbl_Transactions[Product ID], A79,tbl_Transactions[Transaction Type], "OUT"))</f>
        <v>53.75</v>
      </c>
      <c r="C79" s="9">
        <f t="shared" si="1"/>
        <v>1612.5</v>
      </c>
      <c r="D79" s="1">
        <f>_xlfn.MAXIFS(tbl_Transactions[Quantity],tbl_Transactions[Product ID],A79,tbl_Transactions[Transaction Type],"OUT")</f>
        <v>93</v>
      </c>
    </row>
    <row r="80" spans="1:4" x14ac:dyDescent="0.3">
      <c r="A80" s="1" t="s">
        <v>1214</v>
      </c>
      <c r="B80" s="9">
        <f>IF(COUNTIFS(tbl_Transactions[Product ID], A80,tbl_Transactions[Transaction Type], "OUT")=0,0,ABS(SUMIFS(tbl_Transactions[Quantity],tbl_Transactions[Product ID], A80,tbl_Transactions[Transaction Type],"OUT"))/COUNTIFS(tbl_Transactions[Product ID], A80,tbl_Transactions[Transaction Type], "OUT"))</f>
        <v>53.2</v>
      </c>
      <c r="C80" s="9">
        <f t="shared" si="1"/>
        <v>1596</v>
      </c>
      <c r="D80" s="1">
        <f>_xlfn.MAXIFS(tbl_Transactions[Quantity],tbl_Transactions[Product ID],A80,tbl_Transactions[Transaction Type],"OUT")</f>
        <v>92</v>
      </c>
    </row>
    <row r="81" spans="1:4" x14ac:dyDescent="0.3">
      <c r="A81" s="1" t="s">
        <v>1216</v>
      </c>
      <c r="B81" s="9">
        <f>IF(COUNTIFS(tbl_Transactions[Product ID], A81,tbl_Transactions[Transaction Type], "OUT")=0,0,ABS(SUMIFS(tbl_Transactions[Quantity],tbl_Transactions[Product ID], A81,tbl_Transactions[Transaction Type],"OUT"))/COUNTIFS(tbl_Transactions[Product ID], A81,tbl_Transactions[Transaction Type], "OUT"))</f>
        <v>56</v>
      </c>
      <c r="C81" s="9">
        <f t="shared" si="1"/>
        <v>1680</v>
      </c>
      <c r="D81" s="1">
        <f>_xlfn.MAXIFS(tbl_Transactions[Quantity],tbl_Transactions[Product ID],A81,tbl_Transactions[Transaction Type],"OUT")</f>
        <v>92</v>
      </c>
    </row>
    <row r="82" spans="1:4" x14ac:dyDescent="0.3">
      <c r="A82" s="1" t="s">
        <v>1217</v>
      </c>
      <c r="B82" s="9">
        <f>IF(COUNTIFS(tbl_Transactions[Product ID], A82,tbl_Transactions[Transaction Type], "OUT")=0,0,ABS(SUMIFS(tbl_Transactions[Quantity],tbl_Transactions[Product ID], A82,tbl_Transactions[Transaction Type],"OUT"))/COUNTIFS(tbl_Transactions[Product ID], A82,tbl_Transactions[Transaction Type], "OUT"))</f>
        <v>53.75</v>
      </c>
      <c r="C82" s="9">
        <f t="shared" si="1"/>
        <v>1612.5</v>
      </c>
      <c r="D82" s="1">
        <f>_xlfn.MAXIFS(tbl_Transactions[Quantity],tbl_Transactions[Product ID],A82,tbl_Transactions[Transaction Type],"OUT")</f>
        <v>61</v>
      </c>
    </row>
    <row r="83" spans="1:4" x14ac:dyDescent="0.3">
      <c r="A83" s="1" t="s">
        <v>1218</v>
      </c>
      <c r="B83" s="9">
        <f>IF(COUNTIFS(tbl_Transactions[Product ID], A83,tbl_Transactions[Transaction Type], "OUT")=0,0,ABS(SUMIFS(tbl_Transactions[Quantity],tbl_Transactions[Product ID], A83,tbl_Transactions[Transaction Type],"OUT"))/COUNTIFS(tbl_Transactions[Product ID], A83,tbl_Transactions[Transaction Type], "OUT"))</f>
        <v>42.25</v>
      </c>
      <c r="C83" s="9">
        <f t="shared" si="1"/>
        <v>1267.5</v>
      </c>
      <c r="D83" s="1">
        <f>_xlfn.MAXIFS(tbl_Transactions[Quantity],tbl_Transactions[Product ID],A83,tbl_Transactions[Transaction Type],"OUT")</f>
        <v>70</v>
      </c>
    </row>
    <row r="84" spans="1:4" x14ac:dyDescent="0.3">
      <c r="A84" s="1" t="s">
        <v>1219</v>
      </c>
      <c r="B84" s="9">
        <f>IF(COUNTIFS(tbl_Transactions[Product ID], A84,tbl_Transactions[Transaction Type], "OUT")=0,0,ABS(SUMIFS(tbl_Transactions[Quantity],tbl_Transactions[Product ID], A84,tbl_Transactions[Transaction Type],"OUT"))/COUNTIFS(tbl_Transactions[Product ID], A84,tbl_Transactions[Transaction Type], "OUT"))</f>
        <v>41.166666666666664</v>
      </c>
      <c r="C84" s="9">
        <f t="shared" si="1"/>
        <v>1235</v>
      </c>
      <c r="D84" s="1">
        <f>_xlfn.MAXIFS(tbl_Transactions[Quantity],tbl_Transactions[Product ID],A84,tbl_Transactions[Transaction Type],"OUT")</f>
        <v>62</v>
      </c>
    </row>
    <row r="85" spans="1:4" x14ac:dyDescent="0.3">
      <c r="A85" s="1" t="s">
        <v>1220</v>
      </c>
      <c r="B85" s="9">
        <f>IF(COUNTIFS(tbl_Transactions[Product ID], A85,tbl_Transactions[Transaction Type], "OUT")=0,0,ABS(SUMIFS(tbl_Transactions[Quantity],tbl_Transactions[Product ID], A85,tbl_Transactions[Transaction Type],"OUT"))/COUNTIFS(tbl_Transactions[Product ID], A85,tbl_Transactions[Transaction Type], "OUT"))</f>
        <v>70</v>
      </c>
      <c r="C85" s="9">
        <f t="shared" si="1"/>
        <v>2100</v>
      </c>
      <c r="D85" s="1">
        <f>_xlfn.MAXIFS(tbl_Transactions[Quantity],tbl_Transactions[Product ID],A85,tbl_Transactions[Transaction Type],"OUT")</f>
        <v>89</v>
      </c>
    </row>
    <row r="86" spans="1:4" x14ac:dyDescent="0.3">
      <c r="A86" s="1" t="s">
        <v>1221</v>
      </c>
      <c r="B86" s="9">
        <f>IF(COUNTIFS(tbl_Transactions[Product ID], A86,tbl_Transactions[Transaction Type], "OUT")=0,0,ABS(SUMIFS(tbl_Transactions[Quantity],tbl_Transactions[Product ID], A86,tbl_Transactions[Transaction Type],"OUT"))/COUNTIFS(tbl_Transactions[Product ID], A86,tbl_Transactions[Transaction Type], "OUT"))</f>
        <v>0</v>
      </c>
      <c r="C86" s="9">
        <f t="shared" si="1"/>
        <v>0</v>
      </c>
      <c r="D86" s="1">
        <f>_xlfn.MAXIFS(tbl_Transactions[Quantity],tbl_Transactions[Product ID],A86,tbl_Transactions[Transaction Type],"OUT")</f>
        <v>0</v>
      </c>
    </row>
    <row r="87" spans="1:4" x14ac:dyDescent="0.3">
      <c r="A87" s="1" t="s">
        <v>1222</v>
      </c>
      <c r="B87" s="9">
        <f>IF(COUNTIFS(tbl_Transactions[Product ID], A87,tbl_Transactions[Transaction Type], "OUT")=0,0,ABS(SUMIFS(tbl_Transactions[Quantity],tbl_Transactions[Product ID], A87,tbl_Transactions[Transaction Type],"OUT"))/COUNTIFS(tbl_Transactions[Product ID], A87,tbl_Transactions[Transaction Type], "OUT"))</f>
        <v>53.8</v>
      </c>
      <c r="C87" s="9">
        <f t="shared" si="1"/>
        <v>1614</v>
      </c>
      <c r="D87" s="1">
        <f>_xlfn.MAXIFS(tbl_Transactions[Quantity],tbl_Transactions[Product ID],A87,tbl_Transactions[Transaction Type],"OUT")</f>
        <v>84</v>
      </c>
    </row>
    <row r="88" spans="1:4" x14ac:dyDescent="0.3">
      <c r="A88" s="1" t="s">
        <v>1223</v>
      </c>
      <c r="B88" s="9">
        <f>IF(COUNTIFS(tbl_Transactions[Product ID], A88,tbl_Transactions[Transaction Type], "OUT")=0,0,ABS(SUMIFS(tbl_Transactions[Quantity],tbl_Transactions[Product ID], A88,tbl_Transactions[Transaction Type],"OUT"))/COUNTIFS(tbl_Transactions[Product ID], A88,tbl_Transactions[Transaction Type], "OUT"))</f>
        <v>68.333333333333329</v>
      </c>
      <c r="C88" s="9">
        <f t="shared" si="1"/>
        <v>2050</v>
      </c>
      <c r="D88" s="1">
        <f>_xlfn.MAXIFS(tbl_Transactions[Quantity],tbl_Transactions[Product ID],A88,tbl_Transactions[Transaction Type],"OUT")</f>
        <v>96</v>
      </c>
    </row>
    <row r="89" spans="1:4" x14ac:dyDescent="0.3">
      <c r="A89" s="1" t="s">
        <v>1224</v>
      </c>
      <c r="B89" s="9">
        <f>IF(COUNTIFS(tbl_Transactions[Product ID], A89,tbl_Transactions[Transaction Type], "OUT")=0,0,ABS(SUMIFS(tbl_Transactions[Quantity],tbl_Transactions[Product ID], A89,tbl_Transactions[Transaction Type],"OUT"))/COUNTIFS(tbl_Transactions[Product ID], A89,tbl_Transactions[Transaction Type], "OUT"))</f>
        <v>65</v>
      </c>
      <c r="C89" s="9">
        <f t="shared" si="1"/>
        <v>1950</v>
      </c>
      <c r="D89" s="1">
        <f>_xlfn.MAXIFS(tbl_Transactions[Quantity],tbl_Transactions[Product ID],A89,tbl_Transactions[Transaction Type],"OUT")</f>
        <v>95</v>
      </c>
    </row>
    <row r="90" spans="1:4" x14ac:dyDescent="0.3">
      <c r="A90" s="1" t="s">
        <v>1225</v>
      </c>
      <c r="B90" s="9">
        <f>IF(COUNTIFS(tbl_Transactions[Product ID], A90,tbl_Transactions[Transaction Type], "OUT")=0,0,ABS(SUMIFS(tbl_Transactions[Quantity],tbl_Transactions[Product ID], A90,tbl_Transactions[Transaction Type],"OUT"))/COUNTIFS(tbl_Transactions[Product ID], A90,tbl_Transactions[Transaction Type], "OUT"))</f>
        <v>56.6</v>
      </c>
      <c r="C90" s="9">
        <f t="shared" si="1"/>
        <v>1698</v>
      </c>
      <c r="D90" s="1">
        <f>_xlfn.MAXIFS(tbl_Transactions[Quantity],tbl_Transactions[Product ID],A90,tbl_Transactions[Transaction Type],"OUT")</f>
        <v>88</v>
      </c>
    </row>
    <row r="91" spans="1:4" x14ac:dyDescent="0.3">
      <c r="A91" s="1" t="s">
        <v>1226</v>
      </c>
      <c r="B91" s="9">
        <f>IF(COUNTIFS(tbl_Transactions[Product ID], A91,tbl_Transactions[Transaction Type], "OUT")=0,0,ABS(SUMIFS(tbl_Transactions[Quantity],tbl_Transactions[Product ID], A91,tbl_Transactions[Transaction Type],"OUT"))/COUNTIFS(tbl_Transactions[Product ID], A91,tbl_Transactions[Transaction Type], "OUT"))</f>
        <v>63.333333333333336</v>
      </c>
      <c r="C91" s="9">
        <f t="shared" si="1"/>
        <v>1900</v>
      </c>
      <c r="D91" s="1">
        <f>_xlfn.MAXIFS(tbl_Transactions[Quantity],tbl_Transactions[Product ID],A91,tbl_Transactions[Transaction Type],"OUT")</f>
        <v>89</v>
      </c>
    </row>
    <row r="92" spans="1:4" x14ac:dyDescent="0.3">
      <c r="A92" s="1" t="s">
        <v>1227</v>
      </c>
      <c r="B92" s="9">
        <f>IF(COUNTIFS(tbl_Transactions[Product ID], A92,tbl_Transactions[Transaction Type], "OUT")=0,0,ABS(SUMIFS(tbl_Transactions[Quantity],tbl_Transactions[Product ID], A92,tbl_Transactions[Transaction Type],"OUT"))/COUNTIFS(tbl_Transactions[Product ID], A92,tbl_Transactions[Transaction Type], "OUT"))</f>
        <v>48.333333333333336</v>
      </c>
      <c r="C92" s="9">
        <f t="shared" si="1"/>
        <v>1450</v>
      </c>
      <c r="D92" s="1">
        <f>_xlfn.MAXIFS(tbl_Transactions[Quantity],tbl_Transactions[Product ID],A92,tbl_Transactions[Transaction Type],"OUT")</f>
        <v>62</v>
      </c>
    </row>
    <row r="93" spans="1:4" x14ac:dyDescent="0.3">
      <c r="A93" s="1" t="s">
        <v>1228</v>
      </c>
      <c r="B93" s="9">
        <f>IF(COUNTIFS(tbl_Transactions[Product ID], A93,tbl_Transactions[Transaction Type], "OUT")=0,0,ABS(SUMIFS(tbl_Transactions[Quantity],tbl_Transactions[Product ID], A93,tbl_Transactions[Transaction Type],"OUT"))/COUNTIFS(tbl_Transactions[Product ID], A93,tbl_Transactions[Transaction Type], "OUT"))</f>
        <v>67.333333333333329</v>
      </c>
      <c r="C93" s="9">
        <f t="shared" si="1"/>
        <v>2019.9999999999998</v>
      </c>
      <c r="D93" s="1">
        <f>_xlfn.MAXIFS(tbl_Transactions[Quantity],tbl_Transactions[Product ID],A93,tbl_Transactions[Transaction Type],"OUT")</f>
        <v>99</v>
      </c>
    </row>
    <row r="94" spans="1:4" x14ac:dyDescent="0.3">
      <c r="A94" s="1" t="s">
        <v>1229</v>
      </c>
      <c r="B94" s="9">
        <f>IF(COUNTIFS(tbl_Transactions[Product ID], A94,tbl_Transactions[Transaction Type], "OUT")=0,0,ABS(SUMIFS(tbl_Transactions[Quantity],tbl_Transactions[Product ID], A94,tbl_Transactions[Transaction Type],"OUT"))/COUNTIFS(tbl_Transactions[Product ID], A94,tbl_Transactions[Transaction Type], "OUT"))</f>
        <v>40.428571428571431</v>
      </c>
      <c r="C94" s="9">
        <f t="shared" si="1"/>
        <v>1212.8571428571429</v>
      </c>
      <c r="D94" s="1">
        <f>_xlfn.MAXIFS(tbl_Transactions[Quantity],tbl_Transactions[Product ID],A94,tbl_Transactions[Transaction Type],"OUT")</f>
        <v>79</v>
      </c>
    </row>
    <row r="95" spans="1:4" x14ac:dyDescent="0.3">
      <c r="A95" s="1" t="s">
        <v>1230</v>
      </c>
      <c r="B95" s="9">
        <f>IF(COUNTIFS(tbl_Transactions[Product ID], A95,tbl_Transactions[Transaction Type], "OUT")=0,0,ABS(SUMIFS(tbl_Transactions[Quantity],tbl_Transactions[Product ID], A95,tbl_Transactions[Transaction Type],"OUT"))/COUNTIFS(tbl_Transactions[Product ID], A95,tbl_Transactions[Transaction Type], "OUT"))</f>
        <v>55.8</v>
      </c>
      <c r="C95" s="9">
        <f t="shared" si="1"/>
        <v>1674</v>
      </c>
      <c r="D95" s="1">
        <f>_xlfn.MAXIFS(tbl_Transactions[Quantity],tbl_Transactions[Product ID],A95,tbl_Transactions[Transaction Type],"OUT")</f>
        <v>84</v>
      </c>
    </row>
    <row r="96" spans="1:4" x14ac:dyDescent="0.3">
      <c r="A96" s="1" t="s">
        <v>1231</v>
      </c>
      <c r="B96" s="9">
        <f>IF(COUNTIFS(tbl_Transactions[Product ID], A96,tbl_Transactions[Transaction Type], "OUT")=0,0,ABS(SUMIFS(tbl_Transactions[Quantity],tbl_Transactions[Product ID], A96,tbl_Transactions[Transaction Type],"OUT"))/COUNTIFS(tbl_Transactions[Product ID], A96,tbl_Transactions[Transaction Type], "OUT"))</f>
        <v>51.25</v>
      </c>
      <c r="C96" s="9">
        <f t="shared" si="1"/>
        <v>1537.5</v>
      </c>
      <c r="D96" s="1">
        <f>_xlfn.MAXIFS(tbl_Transactions[Quantity],tbl_Transactions[Product ID],A96,tbl_Transactions[Transaction Type],"OUT")</f>
        <v>94</v>
      </c>
    </row>
    <row r="97" spans="1:4" x14ac:dyDescent="0.3">
      <c r="A97" s="1" t="s">
        <v>1232</v>
      </c>
      <c r="B97" s="9">
        <f>IF(COUNTIFS(tbl_Transactions[Product ID], A97,tbl_Transactions[Transaction Type], "OUT")=0,0,ABS(SUMIFS(tbl_Transactions[Quantity],tbl_Transactions[Product ID], A97,tbl_Transactions[Transaction Type],"OUT"))/COUNTIFS(tbl_Transactions[Product ID], A97,tbl_Transactions[Transaction Type], "OUT"))</f>
        <v>81.666666666666671</v>
      </c>
      <c r="C97" s="9">
        <f t="shared" si="1"/>
        <v>2450</v>
      </c>
      <c r="D97" s="1">
        <f>_xlfn.MAXIFS(tbl_Transactions[Quantity],tbl_Transactions[Product ID],A97,tbl_Transactions[Transaction Type],"OUT")</f>
        <v>91</v>
      </c>
    </row>
    <row r="98" spans="1:4" x14ac:dyDescent="0.3">
      <c r="A98" s="1" t="s">
        <v>1233</v>
      </c>
      <c r="B98" s="9">
        <f>IF(COUNTIFS(tbl_Transactions[Product ID], A98,tbl_Transactions[Transaction Type], "OUT")=0,0,ABS(SUMIFS(tbl_Transactions[Quantity],tbl_Transactions[Product ID], A98,tbl_Transactions[Transaction Type],"OUT"))/COUNTIFS(tbl_Transactions[Product ID], A98,tbl_Transactions[Transaction Type], "OUT"))</f>
        <v>48.166666666666664</v>
      </c>
      <c r="C98" s="9">
        <f t="shared" si="1"/>
        <v>1445</v>
      </c>
      <c r="D98" s="1">
        <f>_xlfn.MAXIFS(tbl_Transactions[Quantity],tbl_Transactions[Product ID],A98,tbl_Transactions[Transaction Type],"OUT")</f>
        <v>98</v>
      </c>
    </row>
    <row r="99" spans="1:4" x14ac:dyDescent="0.3">
      <c r="A99" s="1" t="s">
        <v>1234</v>
      </c>
      <c r="B99" s="9">
        <f>IF(COUNTIFS(tbl_Transactions[Product ID], A99,tbl_Transactions[Transaction Type], "OUT")=0,0,ABS(SUMIFS(tbl_Transactions[Quantity],tbl_Transactions[Product ID], A99,tbl_Transactions[Transaction Type],"OUT"))/COUNTIFS(tbl_Transactions[Product ID], A99,tbl_Transactions[Transaction Type], "OUT"))</f>
        <v>57</v>
      </c>
      <c r="C99" s="9">
        <f t="shared" si="1"/>
        <v>1710</v>
      </c>
      <c r="D99" s="1">
        <f>_xlfn.MAXIFS(tbl_Transactions[Quantity],tbl_Transactions[Product ID],A99,tbl_Transactions[Transaction Type],"OUT")</f>
        <v>90</v>
      </c>
    </row>
    <row r="100" spans="1:4" x14ac:dyDescent="0.3">
      <c r="A100" s="1" t="s">
        <v>1235</v>
      </c>
      <c r="B100" s="9">
        <f>IF(COUNTIFS(tbl_Transactions[Product ID], A100,tbl_Transactions[Transaction Type], "OUT")=0,0,ABS(SUMIFS(tbl_Transactions[Quantity],tbl_Transactions[Product ID], A100,tbl_Transactions[Transaction Type],"OUT"))/COUNTIFS(tbl_Transactions[Product ID], A100,tbl_Transactions[Transaction Type], "OUT"))</f>
        <v>45.666666666666664</v>
      </c>
      <c r="C100" s="9">
        <f t="shared" si="1"/>
        <v>1370</v>
      </c>
      <c r="D100" s="1">
        <f>_xlfn.MAXIFS(tbl_Transactions[Quantity],tbl_Transactions[Product ID],A100,tbl_Transactions[Transaction Type],"OUT")</f>
        <v>53</v>
      </c>
    </row>
    <row r="101" spans="1:4" x14ac:dyDescent="0.3">
      <c r="A101" s="1" t="s">
        <v>1236</v>
      </c>
      <c r="B101" s="9">
        <f>IF(COUNTIFS(tbl_Transactions[Product ID], A101,tbl_Transactions[Transaction Type], "OUT")=0,0,ABS(SUMIFS(tbl_Transactions[Quantity],tbl_Transactions[Product ID], A101,tbl_Transactions[Transaction Type],"OUT"))/COUNTIFS(tbl_Transactions[Product ID], A101,tbl_Transactions[Transaction Type], "OUT"))</f>
        <v>56.5</v>
      </c>
      <c r="C101" s="9">
        <f t="shared" si="1"/>
        <v>1695</v>
      </c>
      <c r="D101" s="1">
        <f>_xlfn.MAXIFS(tbl_Transactions[Quantity],tbl_Transactions[Product ID],A101,tbl_Transactions[Transaction Type],"OUT")</f>
        <v>63</v>
      </c>
    </row>
    <row r="102" spans="1:4" x14ac:dyDescent="0.3">
      <c r="A102" s="1" t="s">
        <v>1237</v>
      </c>
      <c r="B102" s="9">
        <f>IF(COUNTIFS(tbl_Transactions[Product ID], A102,tbl_Transactions[Transaction Type], "OUT")=0,0,ABS(SUMIFS(tbl_Transactions[Quantity],tbl_Transactions[Product ID], A102,tbl_Transactions[Transaction Type],"OUT"))/COUNTIFS(tbl_Transactions[Product ID], A102,tbl_Transactions[Transaction Type], "OUT"))</f>
        <v>18</v>
      </c>
      <c r="C102" s="9">
        <f t="shared" si="1"/>
        <v>540</v>
      </c>
      <c r="D102" s="1">
        <f>_xlfn.MAXIFS(tbl_Transactions[Quantity],tbl_Transactions[Product ID],A102,tbl_Transactions[Transaction Type],"OUT")</f>
        <v>18</v>
      </c>
    </row>
    <row r="103" spans="1:4" x14ac:dyDescent="0.3">
      <c r="A103" s="1" t="s">
        <v>1238</v>
      </c>
      <c r="B103" s="9">
        <f>IF(COUNTIFS(tbl_Transactions[Product ID], A103,tbl_Transactions[Transaction Type], "OUT")=0,0,ABS(SUMIFS(tbl_Transactions[Quantity],tbl_Transactions[Product ID], A103,tbl_Transactions[Transaction Type],"OUT"))/COUNTIFS(tbl_Transactions[Product ID], A103,tbl_Transactions[Transaction Type], "OUT"))</f>
        <v>44.333333333333336</v>
      </c>
      <c r="C103" s="9">
        <f t="shared" si="1"/>
        <v>1330</v>
      </c>
      <c r="D103" s="1">
        <f>_xlfn.MAXIFS(tbl_Transactions[Quantity],tbl_Transactions[Product ID],A103,tbl_Transactions[Transaction Type],"OUT")</f>
        <v>80</v>
      </c>
    </row>
    <row r="104" spans="1:4" x14ac:dyDescent="0.3">
      <c r="A104" s="1" t="s">
        <v>1240</v>
      </c>
      <c r="B104" s="9">
        <f>IF(COUNTIFS(tbl_Transactions[Product ID], A104,tbl_Transactions[Transaction Type], "OUT")=0,0,ABS(SUMIFS(tbl_Transactions[Quantity],tbl_Transactions[Product ID], A104,tbl_Transactions[Transaction Type],"OUT"))/COUNTIFS(tbl_Transactions[Product ID], A104,tbl_Transactions[Transaction Type], "OUT"))</f>
        <v>55</v>
      </c>
      <c r="C104" s="9">
        <f t="shared" si="1"/>
        <v>1650</v>
      </c>
      <c r="D104" s="1">
        <f>_xlfn.MAXIFS(tbl_Transactions[Quantity],tbl_Transactions[Product ID],A104,tbl_Transactions[Transaction Type],"OUT")</f>
        <v>78</v>
      </c>
    </row>
    <row r="105" spans="1:4" x14ac:dyDescent="0.3">
      <c r="A105" s="1" t="s">
        <v>1242</v>
      </c>
      <c r="B105" s="9">
        <f>IF(COUNTIFS(tbl_Transactions[Product ID], A105,tbl_Transactions[Transaction Type], "OUT")=0,0,ABS(SUMIFS(tbl_Transactions[Quantity],tbl_Transactions[Product ID], A105,tbl_Transactions[Transaction Type],"OUT"))/COUNTIFS(tbl_Transactions[Product ID], A105,tbl_Transactions[Transaction Type], "OUT"))</f>
        <v>36</v>
      </c>
      <c r="C105" s="9">
        <f t="shared" si="1"/>
        <v>1080</v>
      </c>
      <c r="D105" s="1">
        <f>_xlfn.MAXIFS(tbl_Transactions[Quantity],tbl_Transactions[Product ID],A105,tbl_Transactions[Transaction Type],"OUT")</f>
        <v>45</v>
      </c>
    </row>
    <row r="106" spans="1:4" x14ac:dyDescent="0.3">
      <c r="A106" s="1" t="s">
        <v>1244</v>
      </c>
      <c r="B106" s="9">
        <f>IF(COUNTIFS(tbl_Transactions[Product ID], A106,tbl_Transactions[Transaction Type], "OUT")=0,0,ABS(SUMIFS(tbl_Transactions[Quantity],tbl_Transactions[Product ID], A106,tbl_Transactions[Transaction Type],"OUT"))/COUNTIFS(tbl_Transactions[Product ID], A106,tbl_Transactions[Transaction Type], "OUT"))</f>
        <v>24</v>
      </c>
      <c r="C106" s="9">
        <f t="shared" si="1"/>
        <v>720</v>
      </c>
      <c r="D106" s="1">
        <f>_xlfn.MAXIFS(tbl_Transactions[Quantity],tbl_Transactions[Product ID],A106,tbl_Transactions[Transaction Type],"OUT")</f>
        <v>24</v>
      </c>
    </row>
    <row r="107" spans="1:4" x14ac:dyDescent="0.3">
      <c r="A107" s="1" t="s">
        <v>1246</v>
      </c>
      <c r="B107" s="9">
        <f>IF(COUNTIFS(tbl_Transactions[Product ID], A107,tbl_Transactions[Transaction Type], "OUT")=0,0,ABS(SUMIFS(tbl_Transactions[Quantity],tbl_Transactions[Product ID], A107,tbl_Transactions[Transaction Type],"OUT"))/COUNTIFS(tbl_Transactions[Product ID], A107,tbl_Transactions[Transaction Type], "OUT"))</f>
        <v>48.25</v>
      </c>
      <c r="C107" s="9">
        <f t="shared" si="1"/>
        <v>1447.5</v>
      </c>
      <c r="D107" s="1">
        <f>_xlfn.MAXIFS(tbl_Transactions[Quantity],tbl_Transactions[Product ID],A107,tbl_Transactions[Transaction Type],"OUT")</f>
        <v>76</v>
      </c>
    </row>
    <row r="108" spans="1:4" x14ac:dyDescent="0.3">
      <c r="A108" s="1" t="s">
        <v>1248</v>
      </c>
      <c r="B108" s="9">
        <f>IF(COUNTIFS(tbl_Transactions[Product ID], A108,tbl_Transactions[Transaction Type], "OUT")=0,0,ABS(SUMIFS(tbl_Transactions[Quantity],tbl_Transactions[Product ID], A108,tbl_Transactions[Transaction Type],"OUT"))/COUNTIFS(tbl_Transactions[Product ID], A108,tbl_Transactions[Transaction Type], "OUT"))</f>
        <v>71.666666666666671</v>
      </c>
      <c r="C108" s="9">
        <f t="shared" si="1"/>
        <v>2150</v>
      </c>
      <c r="D108" s="1">
        <f>_xlfn.MAXIFS(tbl_Transactions[Quantity],tbl_Transactions[Product ID],A108,tbl_Transactions[Transaction Type],"OUT")</f>
        <v>98</v>
      </c>
    </row>
    <row r="109" spans="1:4" x14ac:dyDescent="0.3">
      <c r="A109" s="1" t="s">
        <v>1249</v>
      </c>
      <c r="B109" s="9">
        <f>IF(COUNTIFS(tbl_Transactions[Product ID], A109,tbl_Transactions[Transaction Type], "OUT")=0,0,ABS(SUMIFS(tbl_Transactions[Quantity],tbl_Transactions[Product ID], A109,tbl_Transactions[Transaction Type],"OUT"))/COUNTIFS(tbl_Transactions[Product ID], A109,tbl_Transactions[Transaction Type], "OUT"))</f>
        <v>73.166666666666671</v>
      </c>
      <c r="C109" s="9">
        <f t="shared" si="1"/>
        <v>2195</v>
      </c>
      <c r="D109" s="1">
        <f>_xlfn.MAXIFS(tbl_Transactions[Quantity],tbl_Transactions[Product ID],A109,tbl_Transactions[Transaction Type],"OUT")</f>
        <v>98</v>
      </c>
    </row>
    <row r="110" spans="1:4" x14ac:dyDescent="0.3">
      <c r="A110" s="1" t="s">
        <v>1251</v>
      </c>
      <c r="B110" s="9">
        <f>IF(COUNTIFS(tbl_Transactions[Product ID], A110,tbl_Transactions[Transaction Type], "OUT")=0,0,ABS(SUMIFS(tbl_Transactions[Quantity],tbl_Transactions[Product ID], A110,tbl_Transactions[Transaction Type],"OUT"))/COUNTIFS(tbl_Transactions[Product ID], A110,tbl_Transactions[Transaction Type], "OUT"))</f>
        <v>48.25</v>
      </c>
      <c r="C110" s="9">
        <f t="shared" si="1"/>
        <v>1447.5</v>
      </c>
      <c r="D110" s="1">
        <f>_xlfn.MAXIFS(tbl_Transactions[Quantity],tbl_Transactions[Product ID],A110,tbl_Transactions[Transaction Type],"OUT")</f>
        <v>99</v>
      </c>
    </row>
    <row r="111" spans="1:4" x14ac:dyDescent="0.3">
      <c r="A111" s="1" t="s">
        <v>1252</v>
      </c>
      <c r="B111" s="9">
        <f>IF(COUNTIFS(tbl_Transactions[Product ID], A111,tbl_Transactions[Transaction Type], "OUT")=0,0,ABS(SUMIFS(tbl_Transactions[Quantity],tbl_Transactions[Product ID], A111,tbl_Transactions[Transaction Type],"OUT"))/COUNTIFS(tbl_Transactions[Product ID], A111,tbl_Transactions[Transaction Type], "OUT"))</f>
        <v>43.6</v>
      </c>
      <c r="C111" s="9">
        <f t="shared" si="1"/>
        <v>1308</v>
      </c>
      <c r="D111" s="1">
        <f>_xlfn.MAXIFS(tbl_Transactions[Quantity],tbl_Transactions[Product ID],A111,tbl_Transactions[Transaction Type],"OUT")</f>
        <v>51</v>
      </c>
    </row>
    <row r="112" spans="1:4" x14ac:dyDescent="0.3">
      <c r="A112" s="1" t="s">
        <v>1254</v>
      </c>
      <c r="B112" s="9">
        <f>IF(COUNTIFS(tbl_Transactions[Product ID], A112,tbl_Transactions[Transaction Type], "OUT")=0,0,ABS(SUMIFS(tbl_Transactions[Quantity],tbl_Transactions[Product ID], A112,tbl_Transactions[Transaction Type],"OUT"))/COUNTIFS(tbl_Transactions[Product ID], A112,tbl_Transactions[Transaction Type], "OUT"))</f>
        <v>81</v>
      </c>
      <c r="C112" s="9">
        <f t="shared" si="1"/>
        <v>2430</v>
      </c>
      <c r="D112" s="1">
        <f>_xlfn.MAXIFS(tbl_Transactions[Quantity],tbl_Transactions[Product ID],A112,tbl_Transactions[Transaction Type],"OUT")</f>
        <v>89</v>
      </c>
    </row>
    <row r="113" spans="1:4" x14ac:dyDescent="0.3">
      <c r="A113" s="1" t="s">
        <v>1256</v>
      </c>
      <c r="B113" s="9">
        <f>IF(COUNTIFS(tbl_Transactions[Product ID], A113,tbl_Transactions[Transaction Type], "OUT")=0,0,ABS(SUMIFS(tbl_Transactions[Quantity],tbl_Transactions[Product ID], A113,tbl_Transactions[Transaction Type],"OUT"))/COUNTIFS(tbl_Transactions[Product ID], A113,tbl_Transactions[Transaction Type], "OUT"))</f>
        <v>36.333333333333336</v>
      </c>
      <c r="C113" s="9">
        <f t="shared" si="1"/>
        <v>1090</v>
      </c>
      <c r="D113" s="1">
        <f>_xlfn.MAXIFS(tbl_Transactions[Quantity],tbl_Transactions[Product ID],A113,tbl_Transactions[Transaction Type],"OUT")</f>
        <v>82</v>
      </c>
    </row>
    <row r="114" spans="1:4" x14ac:dyDescent="0.3">
      <c r="A114" s="1" t="s">
        <v>1258</v>
      </c>
      <c r="B114" s="9">
        <f>IF(COUNTIFS(tbl_Transactions[Product ID], A114,tbl_Transactions[Transaction Type], "OUT")=0,0,ABS(SUMIFS(tbl_Transactions[Quantity],tbl_Transactions[Product ID], A114,tbl_Transactions[Transaction Type],"OUT"))/COUNTIFS(tbl_Transactions[Product ID], A114,tbl_Transactions[Transaction Type], "OUT"))</f>
        <v>70</v>
      </c>
      <c r="C114" s="9">
        <f t="shared" si="1"/>
        <v>2100</v>
      </c>
      <c r="D114" s="1">
        <f>_xlfn.MAXIFS(tbl_Transactions[Quantity],tbl_Transactions[Product ID],A114,tbl_Transactions[Transaction Type],"OUT")</f>
        <v>85</v>
      </c>
    </row>
    <row r="115" spans="1:4" x14ac:dyDescent="0.3">
      <c r="A115" s="1" t="s">
        <v>1260</v>
      </c>
      <c r="B115" s="9">
        <f>IF(COUNTIFS(tbl_Transactions[Product ID], A115,tbl_Transactions[Transaction Type], "OUT")=0,0,ABS(SUMIFS(tbl_Transactions[Quantity],tbl_Transactions[Product ID], A115,tbl_Transactions[Transaction Type],"OUT"))/COUNTIFS(tbl_Transactions[Product ID], A115,tbl_Transactions[Transaction Type], "OUT"))</f>
        <v>44</v>
      </c>
      <c r="C115" s="9">
        <f t="shared" si="1"/>
        <v>1320</v>
      </c>
      <c r="D115" s="1">
        <f>_xlfn.MAXIFS(tbl_Transactions[Quantity],tbl_Transactions[Product ID],A115,tbl_Transactions[Transaction Type],"OUT")</f>
        <v>99</v>
      </c>
    </row>
    <row r="116" spans="1:4" x14ac:dyDescent="0.3">
      <c r="A116" s="1" t="s">
        <v>1262</v>
      </c>
      <c r="B116" s="9">
        <f>IF(COUNTIFS(tbl_Transactions[Product ID], A116,tbl_Transactions[Transaction Type], "OUT")=0,0,ABS(SUMIFS(tbl_Transactions[Quantity],tbl_Transactions[Product ID], A116,tbl_Transactions[Transaction Type],"OUT"))/COUNTIFS(tbl_Transactions[Product ID], A116,tbl_Transactions[Transaction Type], "OUT"))</f>
        <v>0</v>
      </c>
      <c r="C116" s="9">
        <f t="shared" si="1"/>
        <v>0</v>
      </c>
      <c r="D116" s="1">
        <f>_xlfn.MAXIFS(tbl_Transactions[Quantity],tbl_Transactions[Product ID],A116,tbl_Transactions[Transaction Type],"OUT")</f>
        <v>0</v>
      </c>
    </row>
    <row r="117" spans="1:4" x14ac:dyDescent="0.3">
      <c r="A117" s="1" t="s">
        <v>1263</v>
      </c>
      <c r="B117" s="9">
        <f>IF(COUNTIFS(tbl_Transactions[Product ID], A117,tbl_Transactions[Transaction Type], "OUT")=0,0,ABS(SUMIFS(tbl_Transactions[Quantity],tbl_Transactions[Product ID], A117,tbl_Transactions[Transaction Type],"OUT"))/COUNTIFS(tbl_Transactions[Product ID], A117,tbl_Transactions[Transaction Type], "OUT"))</f>
        <v>55.8</v>
      </c>
      <c r="C117" s="9">
        <f t="shared" si="1"/>
        <v>1674</v>
      </c>
      <c r="D117" s="1">
        <f>_xlfn.MAXIFS(tbl_Transactions[Quantity],tbl_Transactions[Product ID],A117,tbl_Transactions[Transaction Type],"OUT")</f>
        <v>98</v>
      </c>
    </row>
    <row r="118" spans="1:4" x14ac:dyDescent="0.3">
      <c r="A118" s="1" t="s">
        <v>1264</v>
      </c>
      <c r="B118" s="9">
        <f>IF(COUNTIFS(tbl_Transactions[Product ID], A118,tbl_Transactions[Transaction Type], "OUT")=0,0,ABS(SUMIFS(tbl_Transactions[Quantity],tbl_Transactions[Product ID], A118,tbl_Transactions[Transaction Type],"OUT"))/COUNTIFS(tbl_Transactions[Product ID], A118,tbl_Transactions[Transaction Type], "OUT"))</f>
        <v>55</v>
      </c>
      <c r="C118" s="9">
        <f t="shared" si="1"/>
        <v>1650</v>
      </c>
      <c r="D118" s="1">
        <f>_xlfn.MAXIFS(tbl_Transactions[Quantity],tbl_Transactions[Product ID],A118,tbl_Transactions[Transaction Type],"OUT")</f>
        <v>97</v>
      </c>
    </row>
    <row r="119" spans="1:4" x14ac:dyDescent="0.3">
      <c r="A119" s="1" t="s">
        <v>1265</v>
      </c>
      <c r="B119" s="9">
        <f>IF(COUNTIFS(tbl_Transactions[Product ID], A119,tbl_Transactions[Transaction Type], "OUT")=0,0,ABS(SUMIFS(tbl_Transactions[Quantity],tbl_Transactions[Product ID], A119,tbl_Transactions[Transaction Type],"OUT"))/COUNTIFS(tbl_Transactions[Product ID], A119,tbl_Transactions[Transaction Type], "OUT"))</f>
        <v>61.25</v>
      </c>
      <c r="C119" s="9">
        <f t="shared" si="1"/>
        <v>1837.5</v>
      </c>
      <c r="D119" s="1">
        <f>_xlfn.MAXIFS(tbl_Transactions[Quantity],tbl_Transactions[Product ID],A119,tbl_Transactions[Transaction Type],"OUT")</f>
        <v>80</v>
      </c>
    </row>
    <row r="120" spans="1:4" x14ac:dyDescent="0.3">
      <c r="A120" s="1" t="s">
        <v>1266</v>
      </c>
      <c r="B120" s="9">
        <f>IF(COUNTIFS(tbl_Transactions[Product ID], A120,tbl_Transactions[Transaction Type], "OUT")=0,0,ABS(SUMIFS(tbl_Transactions[Quantity],tbl_Transactions[Product ID], A120,tbl_Transactions[Transaction Type],"OUT"))/COUNTIFS(tbl_Transactions[Product ID], A120,tbl_Transactions[Transaction Type], "OUT"))</f>
        <v>31.75</v>
      </c>
      <c r="C120" s="9">
        <f t="shared" si="1"/>
        <v>952.5</v>
      </c>
      <c r="D120" s="1">
        <f>_xlfn.MAXIFS(tbl_Transactions[Quantity],tbl_Transactions[Product ID],A120,tbl_Transactions[Transaction Type],"OUT")</f>
        <v>65</v>
      </c>
    </row>
    <row r="121" spans="1:4" x14ac:dyDescent="0.3">
      <c r="A121" s="1" t="s">
        <v>1267</v>
      </c>
      <c r="B121" s="9">
        <f>IF(COUNTIFS(tbl_Transactions[Product ID], A121,tbl_Transactions[Transaction Type], "OUT")=0,0,ABS(SUMIFS(tbl_Transactions[Quantity],tbl_Transactions[Product ID], A121,tbl_Transactions[Transaction Type],"OUT"))/COUNTIFS(tbl_Transactions[Product ID], A121,tbl_Transactions[Transaction Type], "OUT"))</f>
        <v>57.6</v>
      </c>
      <c r="C121" s="9">
        <f t="shared" si="1"/>
        <v>1728</v>
      </c>
      <c r="D121" s="1">
        <f>_xlfn.MAXIFS(tbl_Transactions[Quantity],tbl_Transactions[Product ID],A121,tbl_Transactions[Transaction Type],"OUT")</f>
        <v>77</v>
      </c>
    </row>
    <row r="122" spans="1:4" x14ac:dyDescent="0.3">
      <c r="A122" s="1" t="s">
        <v>1268</v>
      </c>
      <c r="B122" s="9">
        <f>IF(COUNTIFS(tbl_Transactions[Product ID], A122,tbl_Transactions[Transaction Type], "OUT")=0,0,ABS(SUMIFS(tbl_Transactions[Quantity],tbl_Transactions[Product ID], A122,tbl_Transactions[Transaction Type],"OUT"))/COUNTIFS(tbl_Transactions[Product ID], A122,tbl_Transactions[Transaction Type], "OUT"))</f>
        <v>74.666666666666671</v>
      </c>
      <c r="C122" s="9">
        <f t="shared" si="1"/>
        <v>2240</v>
      </c>
      <c r="D122" s="1">
        <f>_xlfn.MAXIFS(tbl_Transactions[Quantity],tbl_Transactions[Product ID],A122,tbl_Transactions[Transaction Type],"OUT")</f>
        <v>89</v>
      </c>
    </row>
    <row r="123" spans="1:4" x14ac:dyDescent="0.3">
      <c r="B123" s="8"/>
    </row>
    <row r="124" spans="1:4" x14ac:dyDescent="0.3">
      <c r="B124" s="8"/>
    </row>
    <row r="125" spans="1:4" x14ac:dyDescent="0.3">
      <c r="B125" s="8"/>
    </row>
    <row r="126" spans="1:4" x14ac:dyDescent="0.3">
      <c r="B126" s="8"/>
    </row>
    <row r="127" spans="1:4" x14ac:dyDescent="0.3">
      <c r="B127" s="8"/>
    </row>
    <row r="128" spans="1:4" x14ac:dyDescent="0.3">
      <c r="B128" s="8"/>
    </row>
    <row r="129" spans="2:2" x14ac:dyDescent="0.3">
      <c r="B129" s="8"/>
    </row>
    <row r="130" spans="2:2" x14ac:dyDescent="0.3">
      <c r="B130" s="8"/>
    </row>
    <row r="131" spans="2:2" x14ac:dyDescent="0.3">
      <c r="B131" s="8"/>
    </row>
    <row r="132" spans="2:2" x14ac:dyDescent="0.3">
      <c r="B132" s="8"/>
    </row>
    <row r="133" spans="2:2" x14ac:dyDescent="0.3">
      <c r="B133" s="8"/>
    </row>
    <row r="134" spans="2:2" x14ac:dyDescent="0.3">
      <c r="B134" s="8"/>
    </row>
    <row r="135" spans="2:2" x14ac:dyDescent="0.3">
      <c r="B135" s="8"/>
    </row>
    <row r="136" spans="2:2" x14ac:dyDescent="0.3">
      <c r="B136" s="8"/>
    </row>
    <row r="137" spans="2:2" x14ac:dyDescent="0.3">
      <c r="B137" s="8"/>
    </row>
    <row r="138" spans="2:2" x14ac:dyDescent="0.3">
      <c r="B138" s="8"/>
    </row>
    <row r="139" spans="2:2" x14ac:dyDescent="0.3">
      <c r="B139" s="8"/>
    </row>
    <row r="140" spans="2:2" x14ac:dyDescent="0.3">
      <c r="B140" s="8"/>
    </row>
    <row r="141" spans="2:2" x14ac:dyDescent="0.3">
      <c r="B141" s="8"/>
    </row>
    <row r="142" spans="2:2" x14ac:dyDescent="0.3">
      <c r="B142" s="8"/>
    </row>
    <row r="143" spans="2:2" x14ac:dyDescent="0.3">
      <c r="B143" s="8"/>
    </row>
    <row r="144" spans="2:2" x14ac:dyDescent="0.3">
      <c r="B144" s="8"/>
    </row>
    <row r="145" spans="2:2" x14ac:dyDescent="0.3">
      <c r="B145" s="8"/>
    </row>
    <row r="146" spans="2:2" x14ac:dyDescent="0.3">
      <c r="B146" s="8"/>
    </row>
    <row r="147" spans="2:2" x14ac:dyDescent="0.3">
      <c r="B147" s="8"/>
    </row>
    <row r="148" spans="2:2" x14ac:dyDescent="0.3">
      <c r="B148" s="8"/>
    </row>
    <row r="149" spans="2:2" x14ac:dyDescent="0.3">
      <c r="B149" s="8"/>
    </row>
    <row r="150" spans="2:2" x14ac:dyDescent="0.3">
      <c r="B150" s="8"/>
    </row>
    <row r="151" spans="2:2" x14ac:dyDescent="0.3">
      <c r="B151" s="8"/>
    </row>
    <row r="152" spans="2:2" x14ac:dyDescent="0.3">
      <c r="B152" s="8"/>
    </row>
    <row r="153" spans="2:2" x14ac:dyDescent="0.3">
      <c r="B153" s="8"/>
    </row>
    <row r="154" spans="2:2" x14ac:dyDescent="0.3">
      <c r="B154" s="8"/>
    </row>
    <row r="155" spans="2:2" x14ac:dyDescent="0.3">
      <c r="B155" s="8"/>
    </row>
    <row r="156" spans="2:2" x14ac:dyDescent="0.3">
      <c r="B156" s="8"/>
    </row>
    <row r="157" spans="2:2" x14ac:dyDescent="0.3">
      <c r="B157" s="8"/>
    </row>
    <row r="158" spans="2:2" x14ac:dyDescent="0.3">
      <c r="B158" s="8"/>
    </row>
    <row r="159" spans="2:2" x14ac:dyDescent="0.3">
      <c r="B159" s="8"/>
    </row>
    <row r="160" spans="2:2" x14ac:dyDescent="0.3">
      <c r="B160" s="8"/>
    </row>
    <row r="161" spans="2:2" x14ac:dyDescent="0.3">
      <c r="B161" s="8"/>
    </row>
    <row r="162" spans="2:2" x14ac:dyDescent="0.3">
      <c r="B162" s="8"/>
    </row>
    <row r="163" spans="2:2" x14ac:dyDescent="0.3">
      <c r="B163" s="8"/>
    </row>
    <row r="164" spans="2:2" x14ac:dyDescent="0.3">
      <c r="B164" s="8"/>
    </row>
    <row r="165" spans="2:2" x14ac:dyDescent="0.3">
      <c r="B165" s="8"/>
    </row>
    <row r="166" spans="2:2" x14ac:dyDescent="0.3">
      <c r="B166" s="8"/>
    </row>
    <row r="167" spans="2:2" x14ac:dyDescent="0.3">
      <c r="B167" s="8"/>
    </row>
    <row r="168" spans="2:2" x14ac:dyDescent="0.3">
      <c r="B168" s="8"/>
    </row>
    <row r="169" spans="2:2" x14ac:dyDescent="0.3">
      <c r="B169" s="8"/>
    </row>
    <row r="170" spans="2:2" x14ac:dyDescent="0.3">
      <c r="B170" s="8"/>
    </row>
    <row r="171" spans="2:2" x14ac:dyDescent="0.3">
      <c r="B171" s="8"/>
    </row>
    <row r="172" spans="2:2" x14ac:dyDescent="0.3">
      <c r="B172" s="8"/>
    </row>
    <row r="173" spans="2:2" x14ac:dyDescent="0.3">
      <c r="B173" s="8"/>
    </row>
    <row r="174" spans="2:2" x14ac:dyDescent="0.3">
      <c r="B174" s="8"/>
    </row>
    <row r="175" spans="2:2" x14ac:dyDescent="0.3">
      <c r="B175" s="8"/>
    </row>
    <row r="176" spans="2:2" x14ac:dyDescent="0.3">
      <c r="B176" s="8"/>
    </row>
    <row r="177" spans="2:2" x14ac:dyDescent="0.3">
      <c r="B177" s="8"/>
    </row>
    <row r="178" spans="2:2" x14ac:dyDescent="0.3">
      <c r="B178" s="8"/>
    </row>
    <row r="179" spans="2:2" x14ac:dyDescent="0.3">
      <c r="B179" s="8"/>
    </row>
    <row r="180" spans="2:2" x14ac:dyDescent="0.3">
      <c r="B180" s="8"/>
    </row>
    <row r="181" spans="2:2" x14ac:dyDescent="0.3">
      <c r="B181" s="8"/>
    </row>
    <row r="182" spans="2:2" x14ac:dyDescent="0.3">
      <c r="B182" s="8"/>
    </row>
    <row r="183" spans="2:2" x14ac:dyDescent="0.3">
      <c r="B183" s="8"/>
    </row>
    <row r="184" spans="2:2" x14ac:dyDescent="0.3">
      <c r="B184" s="8"/>
    </row>
    <row r="185" spans="2:2" x14ac:dyDescent="0.3">
      <c r="B185" s="8"/>
    </row>
    <row r="186" spans="2:2" x14ac:dyDescent="0.3">
      <c r="B186" s="8"/>
    </row>
    <row r="187" spans="2:2" x14ac:dyDescent="0.3">
      <c r="B187" s="8"/>
    </row>
    <row r="188" spans="2:2" x14ac:dyDescent="0.3">
      <c r="B188" s="8"/>
    </row>
    <row r="189" spans="2:2" x14ac:dyDescent="0.3">
      <c r="B189" s="8"/>
    </row>
    <row r="190" spans="2:2" x14ac:dyDescent="0.3">
      <c r="B190" s="8"/>
    </row>
    <row r="191" spans="2:2" x14ac:dyDescent="0.3">
      <c r="B191" s="8"/>
    </row>
    <row r="192" spans="2:2" x14ac:dyDescent="0.3">
      <c r="B192" s="8"/>
    </row>
    <row r="193" spans="2:2" x14ac:dyDescent="0.3">
      <c r="B193" s="8"/>
    </row>
    <row r="194" spans="2:2" x14ac:dyDescent="0.3">
      <c r="B194" s="8"/>
    </row>
    <row r="195" spans="2:2" x14ac:dyDescent="0.3">
      <c r="B195" s="8"/>
    </row>
    <row r="196" spans="2:2" x14ac:dyDescent="0.3">
      <c r="B196" s="8"/>
    </row>
    <row r="197" spans="2:2" x14ac:dyDescent="0.3">
      <c r="B197" s="8"/>
    </row>
    <row r="198" spans="2:2" x14ac:dyDescent="0.3">
      <c r="B198" s="8"/>
    </row>
    <row r="199" spans="2:2" x14ac:dyDescent="0.3">
      <c r="B199" s="8"/>
    </row>
    <row r="200" spans="2:2" x14ac:dyDescent="0.3">
      <c r="B200" s="8"/>
    </row>
    <row r="201" spans="2:2" x14ac:dyDescent="0.3">
      <c r="B201" s="8"/>
    </row>
    <row r="202" spans="2:2" x14ac:dyDescent="0.3">
      <c r="B202" s="8"/>
    </row>
    <row r="203" spans="2:2" x14ac:dyDescent="0.3">
      <c r="B203" s="8"/>
    </row>
    <row r="204" spans="2:2" x14ac:dyDescent="0.3">
      <c r="B204" s="8"/>
    </row>
    <row r="205" spans="2:2" x14ac:dyDescent="0.3">
      <c r="B205" s="8"/>
    </row>
    <row r="206" spans="2:2" x14ac:dyDescent="0.3">
      <c r="B206" s="8"/>
    </row>
    <row r="207" spans="2:2" x14ac:dyDescent="0.3">
      <c r="B207" s="8"/>
    </row>
    <row r="208" spans="2:2" x14ac:dyDescent="0.3">
      <c r="B208" s="8"/>
    </row>
    <row r="209" spans="2:2" x14ac:dyDescent="0.3">
      <c r="B209" s="8"/>
    </row>
    <row r="210" spans="2:2" x14ac:dyDescent="0.3">
      <c r="B210" s="8"/>
    </row>
    <row r="211" spans="2:2" x14ac:dyDescent="0.3">
      <c r="B211" s="8"/>
    </row>
    <row r="212" spans="2:2" x14ac:dyDescent="0.3">
      <c r="B212" s="8"/>
    </row>
    <row r="213" spans="2:2" x14ac:dyDescent="0.3">
      <c r="B213" s="8"/>
    </row>
    <row r="214" spans="2:2" x14ac:dyDescent="0.3">
      <c r="B214" s="8"/>
    </row>
    <row r="215" spans="2:2" x14ac:dyDescent="0.3">
      <c r="B215" s="8"/>
    </row>
    <row r="216" spans="2:2" x14ac:dyDescent="0.3">
      <c r="B216" s="8"/>
    </row>
    <row r="217" spans="2:2" x14ac:dyDescent="0.3">
      <c r="B217" s="8"/>
    </row>
    <row r="218" spans="2:2" x14ac:dyDescent="0.3">
      <c r="B218" s="8"/>
    </row>
    <row r="219" spans="2:2" x14ac:dyDescent="0.3">
      <c r="B219" s="8"/>
    </row>
    <row r="220" spans="2:2" x14ac:dyDescent="0.3">
      <c r="B220" s="8"/>
    </row>
    <row r="221" spans="2:2" x14ac:dyDescent="0.3">
      <c r="B221" s="8"/>
    </row>
    <row r="222" spans="2:2" x14ac:dyDescent="0.3">
      <c r="B222" s="8"/>
    </row>
    <row r="223" spans="2:2" x14ac:dyDescent="0.3">
      <c r="B223" s="8"/>
    </row>
    <row r="224" spans="2:2" x14ac:dyDescent="0.3">
      <c r="B224" s="8"/>
    </row>
    <row r="225" spans="2:2" x14ac:dyDescent="0.3">
      <c r="B225" s="8"/>
    </row>
    <row r="226" spans="2:2" x14ac:dyDescent="0.3">
      <c r="B226" s="8"/>
    </row>
    <row r="227" spans="2:2" x14ac:dyDescent="0.3">
      <c r="B227" s="8"/>
    </row>
    <row r="228" spans="2:2" x14ac:dyDescent="0.3">
      <c r="B228" s="8"/>
    </row>
    <row r="229" spans="2:2" x14ac:dyDescent="0.3">
      <c r="B229" s="8"/>
    </row>
    <row r="230" spans="2:2" x14ac:dyDescent="0.3">
      <c r="B230" s="8"/>
    </row>
    <row r="231" spans="2:2" x14ac:dyDescent="0.3">
      <c r="B231" s="8"/>
    </row>
    <row r="232" spans="2:2" x14ac:dyDescent="0.3">
      <c r="B232" s="8"/>
    </row>
    <row r="233" spans="2:2" x14ac:dyDescent="0.3">
      <c r="B233" s="8"/>
    </row>
    <row r="234" spans="2:2" x14ac:dyDescent="0.3">
      <c r="B234" s="8"/>
    </row>
    <row r="235" spans="2:2" x14ac:dyDescent="0.3">
      <c r="B235" s="8"/>
    </row>
    <row r="236" spans="2:2" x14ac:dyDescent="0.3">
      <c r="B236" s="8"/>
    </row>
    <row r="237" spans="2:2" x14ac:dyDescent="0.3">
      <c r="B237" s="8"/>
    </row>
    <row r="238" spans="2:2" x14ac:dyDescent="0.3">
      <c r="B238" s="8"/>
    </row>
    <row r="239" spans="2:2" x14ac:dyDescent="0.3">
      <c r="B239" s="8"/>
    </row>
    <row r="240" spans="2:2" x14ac:dyDescent="0.3">
      <c r="B240" s="8"/>
    </row>
    <row r="241" spans="2:2" x14ac:dyDescent="0.3">
      <c r="B241" s="8"/>
    </row>
    <row r="242" spans="2:2" x14ac:dyDescent="0.3">
      <c r="B242" s="8"/>
    </row>
    <row r="243" spans="2:2" x14ac:dyDescent="0.3">
      <c r="B243" s="8"/>
    </row>
    <row r="244" spans="2:2" x14ac:dyDescent="0.3">
      <c r="B244" s="8"/>
    </row>
    <row r="245" spans="2:2" x14ac:dyDescent="0.3">
      <c r="B245" s="8"/>
    </row>
    <row r="246" spans="2:2" x14ac:dyDescent="0.3">
      <c r="B246" s="8"/>
    </row>
    <row r="247" spans="2:2" x14ac:dyDescent="0.3">
      <c r="B247" s="8"/>
    </row>
    <row r="248" spans="2:2" x14ac:dyDescent="0.3">
      <c r="B248" s="8"/>
    </row>
    <row r="249" spans="2:2" x14ac:dyDescent="0.3">
      <c r="B249" s="8"/>
    </row>
    <row r="250" spans="2:2" x14ac:dyDescent="0.3">
      <c r="B250" s="8"/>
    </row>
    <row r="251" spans="2:2" x14ac:dyDescent="0.3">
      <c r="B251" s="8"/>
    </row>
    <row r="252" spans="2:2" x14ac:dyDescent="0.3">
      <c r="B252" s="8"/>
    </row>
    <row r="253" spans="2:2" x14ac:dyDescent="0.3">
      <c r="B253" s="8"/>
    </row>
    <row r="254" spans="2:2" x14ac:dyDescent="0.3">
      <c r="B254" s="8"/>
    </row>
    <row r="255" spans="2:2" x14ac:dyDescent="0.3">
      <c r="B255" s="8"/>
    </row>
    <row r="256" spans="2:2" x14ac:dyDescent="0.3">
      <c r="B256" s="8"/>
    </row>
    <row r="257" spans="2:2" x14ac:dyDescent="0.3">
      <c r="B257" s="8"/>
    </row>
    <row r="258" spans="2:2" x14ac:dyDescent="0.3">
      <c r="B258" s="8"/>
    </row>
    <row r="259" spans="2:2" x14ac:dyDescent="0.3">
      <c r="B259" s="8"/>
    </row>
    <row r="260" spans="2:2" x14ac:dyDescent="0.3">
      <c r="B260" s="8"/>
    </row>
    <row r="261" spans="2:2" x14ac:dyDescent="0.3">
      <c r="B261" s="8"/>
    </row>
    <row r="262" spans="2:2" x14ac:dyDescent="0.3">
      <c r="B262" s="8"/>
    </row>
    <row r="263" spans="2:2" x14ac:dyDescent="0.3">
      <c r="B263" s="8"/>
    </row>
    <row r="264" spans="2:2" x14ac:dyDescent="0.3">
      <c r="B264" s="8"/>
    </row>
    <row r="265" spans="2:2" x14ac:dyDescent="0.3">
      <c r="B265" s="8"/>
    </row>
    <row r="266" spans="2:2" x14ac:dyDescent="0.3">
      <c r="B266" s="8"/>
    </row>
    <row r="267" spans="2:2" x14ac:dyDescent="0.3">
      <c r="B267" s="8"/>
    </row>
    <row r="268" spans="2:2" x14ac:dyDescent="0.3">
      <c r="B268" s="8"/>
    </row>
    <row r="269" spans="2:2" x14ac:dyDescent="0.3">
      <c r="B269" s="8"/>
    </row>
    <row r="270" spans="2:2" x14ac:dyDescent="0.3">
      <c r="B270" s="8"/>
    </row>
    <row r="271" spans="2:2" x14ac:dyDescent="0.3">
      <c r="B271" s="8"/>
    </row>
    <row r="272" spans="2:2" x14ac:dyDescent="0.3">
      <c r="B272" s="8"/>
    </row>
    <row r="273" spans="2:2" x14ac:dyDescent="0.3">
      <c r="B273" s="8"/>
    </row>
    <row r="274" spans="2:2" x14ac:dyDescent="0.3">
      <c r="B274" s="8"/>
    </row>
    <row r="275" spans="2:2" x14ac:dyDescent="0.3">
      <c r="B275" s="8"/>
    </row>
    <row r="276" spans="2:2" x14ac:dyDescent="0.3">
      <c r="B276" s="8"/>
    </row>
    <row r="277" spans="2:2" x14ac:dyDescent="0.3">
      <c r="B277" s="8"/>
    </row>
    <row r="278" spans="2:2" x14ac:dyDescent="0.3">
      <c r="B278" s="8"/>
    </row>
    <row r="279" spans="2:2" x14ac:dyDescent="0.3">
      <c r="B279" s="8"/>
    </row>
    <row r="280" spans="2:2" x14ac:dyDescent="0.3">
      <c r="B280" s="8"/>
    </row>
    <row r="281" spans="2:2" x14ac:dyDescent="0.3">
      <c r="B281" s="8"/>
    </row>
    <row r="282" spans="2:2" x14ac:dyDescent="0.3">
      <c r="B282" s="8"/>
    </row>
    <row r="283" spans="2:2" x14ac:dyDescent="0.3">
      <c r="B283" s="8"/>
    </row>
    <row r="284" spans="2:2" x14ac:dyDescent="0.3">
      <c r="B284" s="8"/>
    </row>
    <row r="285" spans="2:2" x14ac:dyDescent="0.3">
      <c r="B285" s="8"/>
    </row>
    <row r="286" spans="2:2" x14ac:dyDescent="0.3">
      <c r="B286" s="8"/>
    </row>
    <row r="287" spans="2:2" x14ac:dyDescent="0.3">
      <c r="B287" s="8"/>
    </row>
    <row r="288" spans="2:2" x14ac:dyDescent="0.3">
      <c r="B288" s="8"/>
    </row>
    <row r="289" spans="2:2" x14ac:dyDescent="0.3">
      <c r="B289" s="8"/>
    </row>
    <row r="290" spans="2:2" x14ac:dyDescent="0.3">
      <c r="B290" s="8"/>
    </row>
    <row r="291" spans="2:2" x14ac:dyDescent="0.3">
      <c r="B291" s="8"/>
    </row>
    <row r="292" spans="2:2" x14ac:dyDescent="0.3">
      <c r="B292" s="8"/>
    </row>
    <row r="293" spans="2:2" x14ac:dyDescent="0.3">
      <c r="B293" s="8"/>
    </row>
    <row r="294" spans="2:2" x14ac:dyDescent="0.3">
      <c r="B294" s="8"/>
    </row>
    <row r="295" spans="2:2" x14ac:dyDescent="0.3">
      <c r="B295" s="8"/>
    </row>
    <row r="296" spans="2:2" x14ac:dyDescent="0.3">
      <c r="B296" s="8"/>
    </row>
    <row r="297" spans="2:2" x14ac:dyDescent="0.3">
      <c r="B297" s="8"/>
    </row>
    <row r="298" spans="2:2" x14ac:dyDescent="0.3">
      <c r="B298" s="8"/>
    </row>
    <row r="299" spans="2:2" x14ac:dyDescent="0.3">
      <c r="B299" s="8"/>
    </row>
    <row r="300" spans="2:2" x14ac:dyDescent="0.3">
      <c r="B300" s="8"/>
    </row>
    <row r="301" spans="2:2" x14ac:dyDescent="0.3">
      <c r="B301" s="8"/>
    </row>
    <row r="302" spans="2:2" x14ac:dyDescent="0.3">
      <c r="B302" s="8"/>
    </row>
    <row r="303" spans="2:2" x14ac:dyDescent="0.3">
      <c r="B303" s="8"/>
    </row>
    <row r="304" spans="2:2" x14ac:dyDescent="0.3">
      <c r="B304" s="8"/>
    </row>
    <row r="305" spans="2:2" x14ac:dyDescent="0.3">
      <c r="B305" s="8"/>
    </row>
    <row r="306" spans="2:2" x14ac:dyDescent="0.3">
      <c r="B306" s="8"/>
    </row>
    <row r="307" spans="2:2" x14ac:dyDescent="0.3">
      <c r="B307" s="8"/>
    </row>
    <row r="308" spans="2:2" x14ac:dyDescent="0.3">
      <c r="B308" s="8"/>
    </row>
    <row r="309" spans="2:2" x14ac:dyDescent="0.3">
      <c r="B309" s="8"/>
    </row>
    <row r="310" spans="2:2" x14ac:dyDescent="0.3">
      <c r="B310" s="8"/>
    </row>
    <row r="311" spans="2:2" x14ac:dyDescent="0.3">
      <c r="B311" s="8"/>
    </row>
    <row r="312" spans="2:2" x14ac:dyDescent="0.3">
      <c r="B312" s="8"/>
    </row>
    <row r="313" spans="2:2" x14ac:dyDescent="0.3">
      <c r="B313" s="8"/>
    </row>
    <row r="314" spans="2:2" x14ac:dyDescent="0.3">
      <c r="B314" s="8"/>
    </row>
    <row r="315" spans="2:2" x14ac:dyDescent="0.3">
      <c r="B315" s="8"/>
    </row>
    <row r="316" spans="2:2" x14ac:dyDescent="0.3">
      <c r="B316" s="8"/>
    </row>
    <row r="317" spans="2:2" x14ac:dyDescent="0.3">
      <c r="B317" s="8"/>
    </row>
    <row r="318" spans="2:2" x14ac:dyDescent="0.3">
      <c r="B318" s="8"/>
    </row>
    <row r="319" spans="2:2" x14ac:dyDescent="0.3">
      <c r="B319" s="8"/>
    </row>
    <row r="320" spans="2:2" x14ac:dyDescent="0.3">
      <c r="B320" s="8"/>
    </row>
    <row r="321" spans="2:2" x14ac:dyDescent="0.3">
      <c r="B321" s="8"/>
    </row>
    <row r="322" spans="2:2" x14ac:dyDescent="0.3">
      <c r="B322" s="8"/>
    </row>
    <row r="323" spans="2:2" x14ac:dyDescent="0.3">
      <c r="B323" s="8"/>
    </row>
    <row r="324" spans="2:2" x14ac:dyDescent="0.3">
      <c r="B324" s="8"/>
    </row>
    <row r="325" spans="2:2" x14ac:dyDescent="0.3">
      <c r="B325" s="8"/>
    </row>
    <row r="326" spans="2:2" x14ac:dyDescent="0.3">
      <c r="B326" s="8"/>
    </row>
    <row r="327" spans="2:2" x14ac:dyDescent="0.3">
      <c r="B327" s="8"/>
    </row>
    <row r="328" spans="2:2" x14ac:dyDescent="0.3">
      <c r="B328" s="8"/>
    </row>
    <row r="329" spans="2:2" x14ac:dyDescent="0.3">
      <c r="B329" s="8"/>
    </row>
    <row r="330" spans="2:2" x14ac:dyDescent="0.3">
      <c r="B330" s="8"/>
    </row>
    <row r="331" spans="2:2" x14ac:dyDescent="0.3">
      <c r="B331" s="8"/>
    </row>
    <row r="332" spans="2:2" x14ac:dyDescent="0.3">
      <c r="B332" s="8"/>
    </row>
    <row r="333" spans="2:2" x14ac:dyDescent="0.3">
      <c r="B333" s="8"/>
    </row>
    <row r="334" spans="2:2" x14ac:dyDescent="0.3">
      <c r="B334" s="8"/>
    </row>
    <row r="335" spans="2:2" x14ac:dyDescent="0.3">
      <c r="B335" s="8"/>
    </row>
    <row r="336" spans="2:2" x14ac:dyDescent="0.3">
      <c r="B336" s="8"/>
    </row>
    <row r="337" spans="2:2" x14ac:dyDescent="0.3">
      <c r="B337" s="8"/>
    </row>
    <row r="338" spans="2:2" x14ac:dyDescent="0.3">
      <c r="B338" s="8"/>
    </row>
    <row r="339" spans="2:2" x14ac:dyDescent="0.3">
      <c r="B339" s="8"/>
    </row>
    <row r="340" spans="2:2" x14ac:dyDescent="0.3">
      <c r="B340" s="8"/>
    </row>
    <row r="341" spans="2:2" x14ac:dyDescent="0.3">
      <c r="B341" s="8"/>
    </row>
    <row r="342" spans="2:2" x14ac:dyDescent="0.3">
      <c r="B342" s="8"/>
    </row>
    <row r="343" spans="2:2" x14ac:dyDescent="0.3">
      <c r="B343" s="8"/>
    </row>
    <row r="344" spans="2:2" x14ac:dyDescent="0.3">
      <c r="B344" s="8"/>
    </row>
    <row r="345" spans="2:2" x14ac:dyDescent="0.3">
      <c r="B345" s="8"/>
    </row>
    <row r="346" spans="2:2" x14ac:dyDescent="0.3">
      <c r="B346" s="8"/>
    </row>
    <row r="347" spans="2:2" x14ac:dyDescent="0.3">
      <c r="B347" s="8"/>
    </row>
    <row r="348" spans="2:2" x14ac:dyDescent="0.3">
      <c r="B348" s="8"/>
    </row>
    <row r="349" spans="2:2" x14ac:dyDescent="0.3">
      <c r="B349" s="8"/>
    </row>
    <row r="350" spans="2:2" x14ac:dyDescent="0.3">
      <c r="B350" s="8"/>
    </row>
    <row r="351" spans="2:2" x14ac:dyDescent="0.3">
      <c r="B351" s="8"/>
    </row>
    <row r="352" spans="2:2" x14ac:dyDescent="0.3">
      <c r="B352" s="8"/>
    </row>
    <row r="353" spans="2:2" x14ac:dyDescent="0.3">
      <c r="B353" s="8"/>
    </row>
    <row r="354" spans="2:2" x14ac:dyDescent="0.3">
      <c r="B354" s="8"/>
    </row>
    <row r="355" spans="2:2" x14ac:dyDescent="0.3">
      <c r="B355" s="8"/>
    </row>
    <row r="356" spans="2:2" x14ac:dyDescent="0.3">
      <c r="B356" s="8"/>
    </row>
    <row r="357" spans="2:2" x14ac:dyDescent="0.3">
      <c r="B357" s="8"/>
    </row>
    <row r="358" spans="2:2" x14ac:dyDescent="0.3">
      <c r="B358" s="8"/>
    </row>
    <row r="359" spans="2:2" x14ac:dyDescent="0.3">
      <c r="B359" s="8"/>
    </row>
    <row r="360" spans="2:2" x14ac:dyDescent="0.3">
      <c r="B360" s="8"/>
    </row>
    <row r="361" spans="2:2" x14ac:dyDescent="0.3">
      <c r="B361" s="8"/>
    </row>
    <row r="362" spans="2:2" x14ac:dyDescent="0.3">
      <c r="B362" s="8"/>
    </row>
    <row r="363" spans="2:2" x14ac:dyDescent="0.3">
      <c r="B363" s="8"/>
    </row>
    <row r="364" spans="2:2" x14ac:dyDescent="0.3">
      <c r="B364" s="8"/>
    </row>
    <row r="365" spans="2:2" x14ac:dyDescent="0.3">
      <c r="B365" s="8"/>
    </row>
    <row r="366" spans="2:2" x14ac:dyDescent="0.3">
      <c r="B366" s="8"/>
    </row>
    <row r="367" spans="2:2" x14ac:dyDescent="0.3">
      <c r="B367" s="8"/>
    </row>
    <row r="368" spans="2:2" x14ac:dyDescent="0.3">
      <c r="B368" s="8"/>
    </row>
    <row r="369" spans="2:2" x14ac:dyDescent="0.3">
      <c r="B369" s="8"/>
    </row>
    <row r="370" spans="2:2" x14ac:dyDescent="0.3">
      <c r="B370" s="8"/>
    </row>
    <row r="371" spans="2:2" x14ac:dyDescent="0.3">
      <c r="B371" s="8"/>
    </row>
    <row r="372" spans="2:2" x14ac:dyDescent="0.3">
      <c r="B372" s="8"/>
    </row>
    <row r="373" spans="2:2" x14ac:dyDescent="0.3">
      <c r="B373" s="8"/>
    </row>
    <row r="374" spans="2:2" x14ac:dyDescent="0.3">
      <c r="B374" s="8"/>
    </row>
    <row r="375" spans="2:2" x14ac:dyDescent="0.3">
      <c r="B375" s="8"/>
    </row>
    <row r="376" spans="2:2" x14ac:dyDescent="0.3">
      <c r="B376" s="8"/>
    </row>
    <row r="377" spans="2:2" x14ac:dyDescent="0.3">
      <c r="B377" s="8"/>
    </row>
    <row r="378" spans="2:2" x14ac:dyDescent="0.3">
      <c r="B378" s="8"/>
    </row>
    <row r="379" spans="2:2" x14ac:dyDescent="0.3">
      <c r="B379" s="8"/>
    </row>
    <row r="380" spans="2:2" x14ac:dyDescent="0.3">
      <c r="B380" s="8"/>
    </row>
    <row r="381" spans="2:2" x14ac:dyDescent="0.3">
      <c r="B381" s="8"/>
    </row>
    <row r="382" spans="2:2" x14ac:dyDescent="0.3">
      <c r="B382" s="8"/>
    </row>
    <row r="383" spans="2:2" x14ac:dyDescent="0.3">
      <c r="B383" s="8"/>
    </row>
    <row r="384" spans="2:2" x14ac:dyDescent="0.3">
      <c r="B384" s="8"/>
    </row>
    <row r="385" spans="2:2" x14ac:dyDescent="0.3">
      <c r="B385" s="8"/>
    </row>
    <row r="386" spans="2:2" x14ac:dyDescent="0.3">
      <c r="B386" s="8"/>
    </row>
    <row r="387" spans="2:2" x14ac:dyDescent="0.3">
      <c r="B387" s="8"/>
    </row>
    <row r="388" spans="2:2" x14ac:dyDescent="0.3">
      <c r="B388" s="8"/>
    </row>
    <row r="389" spans="2:2" x14ac:dyDescent="0.3">
      <c r="B389" s="8"/>
    </row>
    <row r="390" spans="2:2" x14ac:dyDescent="0.3">
      <c r="B390" s="8"/>
    </row>
    <row r="391" spans="2:2" x14ac:dyDescent="0.3">
      <c r="B391" s="8"/>
    </row>
    <row r="392" spans="2:2" x14ac:dyDescent="0.3">
      <c r="B392" s="8"/>
    </row>
    <row r="393" spans="2:2" x14ac:dyDescent="0.3">
      <c r="B393" s="8"/>
    </row>
    <row r="394" spans="2:2" x14ac:dyDescent="0.3">
      <c r="B394" s="8"/>
    </row>
    <row r="395" spans="2:2" x14ac:dyDescent="0.3">
      <c r="B395" s="8"/>
    </row>
    <row r="396" spans="2:2" x14ac:dyDescent="0.3">
      <c r="B396" s="8"/>
    </row>
    <row r="397" spans="2:2" x14ac:dyDescent="0.3">
      <c r="B397" s="8"/>
    </row>
    <row r="398" spans="2:2" x14ac:dyDescent="0.3">
      <c r="B398" s="8"/>
    </row>
    <row r="399" spans="2:2" x14ac:dyDescent="0.3">
      <c r="B399" s="8"/>
    </row>
    <row r="400" spans="2:2" x14ac:dyDescent="0.3">
      <c r="B400" s="8"/>
    </row>
    <row r="401" spans="2:2" x14ac:dyDescent="0.3">
      <c r="B401" s="8"/>
    </row>
    <row r="402" spans="2:2" x14ac:dyDescent="0.3">
      <c r="B402" s="8"/>
    </row>
    <row r="403" spans="2:2" x14ac:dyDescent="0.3">
      <c r="B403" s="8"/>
    </row>
    <row r="404" spans="2:2" x14ac:dyDescent="0.3">
      <c r="B404" s="8"/>
    </row>
    <row r="405" spans="2:2" x14ac:dyDescent="0.3">
      <c r="B405" s="8"/>
    </row>
    <row r="406" spans="2:2" x14ac:dyDescent="0.3">
      <c r="B406" s="8"/>
    </row>
    <row r="407" spans="2:2" x14ac:dyDescent="0.3">
      <c r="B407" s="8"/>
    </row>
    <row r="408" spans="2:2" x14ac:dyDescent="0.3">
      <c r="B408" s="8"/>
    </row>
    <row r="409" spans="2:2" x14ac:dyDescent="0.3">
      <c r="B409" s="8"/>
    </row>
    <row r="410" spans="2:2" x14ac:dyDescent="0.3">
      <c r="B410" s="8"/>
    </row>
    <row r="411" spans="2:2" x14ac:dyDescent="0.3">
      <c r="B411" s="8"/>
    </row>
    <row r="412" spans="2:2" x14ac:dyDescent="0.3">
      <c r="B412" s="8"/>
    </row>
    <row r="413" spans="2:2" x14ac:dyDescent="0.3">
      <c r="B413" s="8"/>
    </row>
    <row r="414" spans="2:2" x14ac:dyDescent="0.3">
      <c r="B414" s="8"/>
    </row>
    <row r="415" spans="2:2" x14ac:dyDescent="0.3">
      <c r="B415" s="8"/>
    </row>
    <row r="416" spans="2:2" x14ac:dyDescent="0.3">
      <c r="B416" s="8"/>
    </row>
    <row r="417" spans="2:2" x14ac:dyDescent="0.3">
      <c r="B417" s="8"/>
    </row>
    <row r="418" spans="2:2" x14ac:dyDescent="0.3">
      <c r="B418" s="8"/>
    </row>
    <row r="419" spans="2:2" x14ac:dyDescent="0.3">
      <c r="B419" s="8"/>
    </row>
    <row r="420" spans="2:2" x14ac:dyDescent="0.3">
      <c r="B420" s="8"/>
    </row>
    <row r="421" spans="2:2" x14ac:dyDescent="0.3">
      <c r="B421" s="8"/>
    </row>
    <row r="422" spans="2:2" x14ac:dyDescent="0.3">
      <c r="B422" s="8"/>
    </row>
    <row r="423" spans="2:2" x14ac:dyDescent="0.3">
      <c r="B423" s="8"/>
    </row>
    <row r="424" spans="2:2" x14ac:dyDescent="0.3">
      <c r="B424" s="8"/>
    </row>
    <row r="425" spans="2:2" x14ac:dyDescent="0.3">
      <c r="B425" s="8"/>
    </row>
    <row r="426" spans="2:2" x14ac:dyDescent="0.3">
      <c r="B426" s="8"/>
    </row>
    <row r="427" spans="2:2" x14ac:dyDescent="0.3">
      <c r="B427" s="8"/>
    </row>
    <row r="428" spans="2:2" x14ac:dyDescent="0.3">
      <c r="B428" s="8"/>
    </row>
    <row r="429" spans="2:2" x14ac:dyDescent="0.3">
      <c r="B429" s="8"/>
    </row>
    <row r="430" spans="2:2" x14ac:dyDescent="0.3">
      <c r="B430" s="8"/>
    </row>
    <row r="431" spans="2:2" x14ac:dyDescent="0.3">
      <c r="B431" s="8"/>
    </row>
    <row r="432" spans="2:2" x14ac:dyDescent="0.3">
      <c r="B432" s="8"/>
    </row>
    <row r="433" spans="2:2" x14ac:dyDescent="0.3">
      <c r="B433" s="8"/>
    </row>
    <row r="434" spans="2:2" x14ac:dyDescent="0.3">
      <c r="B434" s="8"/>
    </row>
    <row r="435" spans="2:2" x14ac:dyDescent="0.3">
      <c r="B435" s="8"/>
    </row>
    <row r="436" spans="2:2" x14ac:dyDescent="0.3">
      <c r="B436" s="8"/>
    </row>
    <row r="437" spans="2:2" x14ac:dyDescent="0.3">
      <c r="B437" s="8"/>
    </row>
    <row r="438" spans="2:2" x14ac:dyDescent="0.3">
      <c r="B438" s="8"/>
    </row>
    <row r="439" spans="2:2" x14ac:dyDescent="0.3">
      <c r="B439" s="8"/>
    </row>
    <row r="440" spans="2:2" x14ac:dyDescent="0.3">
      <c r="B440" s="8"/>
    </row>
    <row r="441" spans="2:2" x14ac:dyDescent="0.3">
      <c r="B441" s="8"/>
    </row>
    <row r="442" spans="2:2" x14ac:dyDescent="0.3">
      <c r="B442" s="8"/>
    </row>
    <row r="443" spans="2:2" x14ac:dyDescent="0.3">
      <c r="B443" s="8"/>
    </row>
    <row r="444" spans="2:2" x14ac:dyDescent="0.3">
      <c r="B444" s="8"/>
    </row>
    <row r="445" spans="2:2" x14ac:dyDescent="0.3">
      <c r="B445" s="8"/>
    </row>
    <row r="446" spans="2:2" x14ac:dyDescent="0.3">
      <c r="B446" s="8"/>
    </row>
    <row r="447" spans="2:2" x14ac:dyDescent="0.3">
      <c r="B447" s="8"/>
    </row>
    <row r="448" spans="2:2" x14ac:dyDescent="0.3">
      <c r="B448" s="8"/>
    </row>
    <row r="449" spans="2:2" x14ac:dyDescent="0.3">
      <c r="B449" s="8"/>
    </row>
    <row r="450" spans="2:2" x14ac:dyDescent="0.3">
      <c r="B450" s="8"/>
    </row>
    <row r="451" spans="2:2" x14ac:dyDescent="0.3">
      <c r="B451" s="8"/>
    </row>
    <row r="452" spans="2:2" x14ac:dyDescent="0.3">
      <c r="B452" s="8"/>
    </row>
    <row r="453" spans="2:2" x14ac:dyDescent="0.3">
      <c r="B453" s="8"/>
    </row>
    <row r="454" spans="2:2" x14ac:dyDescent="0.3">
      <c r="B454" s="8"/>
    </row>
    <row r="455" spans="2:2" x14ac:dyDescent="0.3">
      <c r="B455" s="8"/>
    </row>
    <row r="456" spans="2:2" x14ac:dyDescent="0.3">
      <c r="B456" s="8"/>
    </row>
    <row r="457" spans="2:2" x14ac:dyDescent="0.3">
      <c r="B457" s="8"/>
    </row>
    <row r="458" spans="2:2" x14ac:dyDescent="0.3">
      <c r="B458" s="8"/>
    </row>
    <row r="459" spans="2:2" x14ac:dyDescent="0.3">
      <c r="B459" s="8"/>
    </row>
    <row r="460" spans="2:2" x14ac:dyDescent="0.3">
      <c r="B460" s="8"/>
    </row>
    <row r="461" spans="2:2" x14ac:dyDescent="0.3">
      <c r="B461" s="8"/>
    </row>
    <row r="462" spans="2:2" x14ac:dyDescent="0.3">
      <c r="B462" s="8"/>
    </row>
    <row r="463" spans="2:2" x14ac:dyDescent="0.3">
      <c r="B463" s="8"/>
    </row>
    <row r="464" spans="2:2" x14ac:dyDescent="0.3">
      <c r="B464" s="8"/>
    </row>
    <row r="465" spans="2:2" x14ac:dyDescent="0.3">
      <c r="B465" s="8"/>
    </row>
    <row r="466" spans="2:2" x14ac:dyDescent="0.3">
      <c r="B466" s="8"/>
    </row>
    <row r="467" spans="2:2" x14ac:dyDescent="0.3">
      <c r="B467" s="8"/>
    </row>
    <row r="468" spans="2:2" x14ac:dyDescent="0.3">
      <c r="B468" s="8"/>
    </row>
    <row r="469" spans="2:2" x14ac:dyDescent="0.3">
      <c r="B469" s="8"/>
    </row>
    <row r="470" spans="2:2" x14ac:dyDescent="0.3">
      <c r="B470" s="8"/>
    </row>
    <row r="471" spans="2:2" x14ac:dyDescent="0.3">
      <c r="B471" s="8"/>
    </row>
    <row r="472" spans="2:2" x14ac:dyDescent="0.3">
      <c r="B472" s="8"/>
    </row>
    <row r="473" spans="2:2" x14ac:dyDescent="0.3">
      <c r="B473" s="8"/>
    </row>
    <row r="474" spans="2:2" x14ac:dyDescent="0.3">
      <c r="B474" s="8"/>
    </row>
    <row r="475" spans="2:2" x14ac:dyDescent="0.3">
      <c r="B475" s="8"/>
    </row>
    <row r="476" spans="2:2" x14ac:dyDescent="0.3">
      <c r="B476" s="8"/>
    </row>
    <row r="477" spans="2:2" x14ac:dyDescent="0.3">
      <c r="B477" s="8"/>
    </row>
    <row r="478" spans="2:2" x14ac:dyDescent="0.3">
      <c r="B478" s="8"/>
    </row>
    <row r="479" spans="2:2" x14ac:dyDescent="0.3">
      <c r="B479" s="8"/>
    </row>
    <row r="480" spans="2:2" x14ac:dyDescent="0.3">
      <c r="B480" s="8"/>
    </row>
    <row r="481" spans="2:2" x14ac:dyDescent="0.3">
      <c r="B481" s="8"/>
    </row>
    <row r="482" spans="2:2" x14ac:dyDescent="0.3">
      <c r="B482" s="8"/>
    </row>
    <row r="483" spans="2:2" x14ac:dyDescent="0.3">
      <c r="B483" s="8"/>
    </row>
    <row r="484" spans="2:2" x14ac:dyDescent="0.3">
      <c r="B484" s="8"/>
    </row>
    <row r="485" spans="2:2" x14ac:dyDescent="0.3">
      <c r="B485" s="8"/>
    </row>
    <row r="486" spans="2:2" x14ac:dyDescent="0.3">
      <c r="B486" s="8"/>
    </row>
    <row r="487" spans="2:2" x14ac:dyDescent="0.3">
      <c r="B487" s="8"/>
    </row>
    <row r="488" spans="2:2" x14ac:dyDescent="0.3">
      <c r="B488" s="8"/>
    </row>
    <row r="489" spans="2:2" x14ac:dyDescent="0.3">
      <c r="B489" s="8"/>
    </row>
    <row r="490" spans="2:2" x14ac:dyDescent="0.3">
      <c r="B490" s="8"/>
    </row>
    <row r="491" spans="2:2" x14ac:dyDescent="0.3">
      <c r="B491" s="8"/>
    </row>
    <row r="492" spans="2:2" x14ac:dyDescent="0.3">
      <c r="B492" s="8"/>
    </row>
    <row r="493" spans="2:2" x14ac:dyDescent="0.3">
      <c r="B493" s="8"/>
    </row>
    <row r="494" spans="2:2" x14ac:dyDescent="0.3">
      <c r="B494" s="8"/>
    </row>
    <row r="495" spans="2:2" x14ac:dyDescent="0.3">
      <c r="B495" s="8"/>
    </row>
    <row r="496" spans="2:2" x14ac:dyDescent="0.3">
      <c r="B496" s="8"/>
    </row>
    <row r="497" spans="2:2" x14ac:dyDescent="0.3">
      <c r="B497" s="8"/>
    </row>
    <row r="498" spans="2:2" x14ac:dyDescent="0.3">
      <c r="B498" s="8"/>
    </row>
    <row r="499" spans="2:2" x14ac:dyDescent="0.3">
      <c r="B499" s="8"/>
    </row>
    <row r="500" spans="2:2" x14ac:dyDescent="0.3">
      <c r="B500" s="8"/>
    </row>
    <row r="501" spans="2:2" x14ac:dyDescent="0.3">
      <c r="B501" s="8"/>
    </row>
    <row r="502" spans="2:2" x14ac:dyDescent="0.3">
      <c r="B502" s="8"/>
    </row>
    <row r="503" spans="2:2" x14ac:dyDescent="0.3">
      <c r="B503" s="8"/>
    </row>
    <row r="504" spans="2:2" x14ac:dyDescent="0.3">
      <c r="B504" s="8"/>
    </row>
    <row r="505" spans="2:2" x14ac:dyDescent="0.3">
      <c r="B505" s="8"/>
    </row>
    <row r="506" spans="2:2" x14ac:dyDescent="0.3">
      <c r="B506" s="8"/>
    </row>
    <row r="507" spans="2:2" x14ac:dyDescent="0.3">
      <c r="B507" s="8"/>
    </row>
    <row r="508" spans="2:2" x14ac:dyDescent="0.3">
      <c r="B508" s="8"/>
    </row>
    <row r="509" spans="2:2" x14ac:dyDescent="0.3">
      <c r="B509" s="8"/>
    </row>
    <row r="510" spans="2:2" x14ac:dyDescent="0.3">
      <c r="B510" s="8"/>
    </row>
    <row r="511" spans="2:2" x14ac:dyDescent="0.3">
      <c r="B511" s="8"/>
    </row>
    <row r="512" spans="2:2" x14ac:dyDescent="0.3">
      <c r="B512" s="8"/>
    </row>
    <row r="513" spans="2:2" x14ac:dyDescent="0.3">
      <c r="B513" s="8"/>
    </row>
    <row r="514" spans="2:2" x14ac:dyDescent="0.3">
      <c r="B514" s="8"/>
    </row>
    <row r="515" spans="2:2" x14ac:dyDescent="0.3">
      <c r="B515" s="8"/>
    </row>
    <row r="516" spans="2:2" x14ac:dyDescent="0.3">
      <c r="B516" s="8"/>
    </row>
    <row r="517" spans="2:2" x14ac:dyDescent="0.3">
      <c r="B517" s="8"/>
    </row>
    <row r="518" spans="2:2" x14ac:dyDescent="0.3">
      <c r="B518" s="8"/>
    </row>
    <row r="519" spans="2:2" x14ac:dyDescent="0.3">
      <c r="B519" s="8"/>
    </row>
    <row r="520" spans="2:2" x14ac:dyDescent="0.3">
      <c r="B520" s="8"/>
    </row>
    <row r="521" spans="2:2" x14ac:dyDescent="0.3">
      <c r="B521" s="8"/>
    </row>
    <row r="522" spans="2:2" x14ac:dyDescent="0.3">
      <c r="B522" s="8"/>
    </row>
    <row r="523" spans="2:2" x14ac:dyDescent="0.3">
      <c r="B523" s="8"/>
    </row>
    <row r="524" spans="2:2" x14ac:dyDescent="0.3">
      <c r="B524" s="8"/>
    </row>
    <row r="525" spans="2:2" x14ac:dyDescent="0.3">
      <c r="B525" s="8"/>
    </row>
    <row r="526" spans="2:2" x14ac:dyDescent="0.3">
      <c r="B526" s="8"/>
    </row>
    <row r="527" spans="2:2" x14ac:dyDescent="0.3">
      <c r="B527" s="8"/>
    </row>
    <row r="528" spans="2:2" x14ac:dyDescent="0.3">
      <c r="B528" s="8"/>
    </row>
    <row r="529" spans="2:2" x14ac:dyDescent="0.3">
      <c r="B529" s="8"/>
    </row>
    <row r="530" spans="2:2" x14ac:dyDescent="0.3">
      <c r="B530" s="8"/>
    </row>
    <row r="531" spans="2:2" x14ac:dyDescent="0.3">
      <c r="B531" s="8"/>
    </row>
    <row r="532" spans="2:2" x14ac:dyDescent="0.3">
      <c r="B532" s="8"/>
    </row>
    <row r="533" spans="2:2" x14ac:dyDescent="0.3">
      <c r="B533" s="8"/>
    </row>
    <row r="534" spans="2:2" x14ac:dyDescent="0.3">
      <c r="B534" s="8"/>
    </row>
    <row r="535" spans="2:2" x14ac:dyDescent="0.3">
      <c r="B535" s="8"/>
    </row>
    <row r="536" spans="2:2" x14ac:dyDescent="0.3">
      <c r="B536" s="8"/>
    </row>
    <row r="537" spans="2:2" x14ac:dyDescent="0.3">
      <c r="B537" s="8"/>
    </row>
    <row r="538" spans="2:2" x14ac:dyDescent="0.3">
      <c r="B538" s="8"/>
    </row>
    <row r="539" spans="2:2" x14ac:dyDescent="0.3">
      <c r="B539" s="8"/>
    </row>
    <row r="540" spans="2:2" x14ac:dyDescent="0.3">
      <c r="B540" s="8"/>
    </row>
    <row r="541" spans="2:2" x14ac:dyDescent="0.3">
      <c r="B541" s="8"/>
    </row>
    <row r="542" spans="2:2" x14ac:dyDescent="0.3">
      <c r="B542" s="8"/>
    </row>
    <row r="543" spans="2:2" x14ac:dyDescent="0.3">
      <c r="B543" s="8"/>
    </row>
    <row r="544" spans="2:2" x14ac:dyDescent="0.3">
      <c r="B544" s="8"/>
    </row>
    <row r="545" spans="2:2" x14ac:dyDescent="0.3">
      <c r="B545" s="8"/>
    </row>
    <row r="546" spans="2:2" x14ac:dyDescent="0.3">
      <c r="B546" s="8"/>
    </row>
    <row r="547" spans="2:2" x14ac:dyDescent="0.3">
      <c r="B547" s="8"/>
    </row>
    <row r="548" spans="2:2" x14ac:dyDescent="0.3">
      <c r="B548" s="8"/>
    </row>
    <row r="549" spans="2:2" x14ac:dyDescent="0.3">
      <c r="B549" s="8"/>
    </row>
    <row r="550" spans="2:2" x14ac:dyDescent="0.3">
      <c r="B550" s="8"/>
    </row>
    <row r="551" spans="2:2" x14ac:dyDescent="0.3">
      <c r="B551" s="8"/>
    </row>
    <row r="552" spans="2:2" x14ac:dyDescent="0.3">
      <c r="B552" s="8"/>
    </row>
    <row r="553" spans="2:2" x14ac:dyDescent="0.3">
      <c r="B553" s="8"/>
    </row>
    <row r="554" spans="2:2" x14ac:dyDescent="0.3">
      <c r="B554" s="8"/>
    </row>
    <row r="555" spans="2:2" x14ac:dyDescent="0.3">
      <c r="B555" s="8"/>
    </row>
    <row r="556" spans="2:2" x14ac:dyDescent="0.3">
      <c r="B556" s="8"/>
    </row>
    <row r="557" spans="2:2" x14ac:dyDescent="0.3">
      <c r="B557" s="8"/>
    </row>
    <row r="558" spans="2:2" x14ac:dyDescent="0.3">
      <c r="B558" s="8"/>
    </row>
    <row r="559" spans="2:2" x14ac:dyDescent="0.3">
      <c r="B559" s="8"/>
    </row>
    <row r="560" spans="2:2" x14ac:dyDescent="0.3">
      <c r="B560" s="8"/>
    </row>
    <row r="561" spans="2:2" x14ac:dyDescent="0.3">
      <c r="B561" s="8"/>
    </row>
    <row r="562" spans="2:2" x14ac:dyDescent="0.3">
      <c r="B562" s="8"/>
    </row>
    <row r="563" spans="2:2" x14ac:dyDescent="0.3">
      <c r="B563" s="8"/>
    </row>
    <row r="564" spans="2:2" x14ac:dyDescent="0.3">
      <c r="B564" s="8"/>
    </row>
    <row r="565" spans="2:2" x14ac:dyDescent="0.3">
      <c r="B565" s="8"/>
    </row>
    <row r="566" spans="2:2" x14ac:dyDescent="0.3">
      <c r="B566" s="8"/>
    </row>
    <row r="567" spans="2:2" x14ac:dyDescent="0.3">
      <c r="B567" s="8"/>
    </row>
    <row r="568" spans="2:2" x14ac:dyDescent="0.3">
      <c r="B568" s="8"/>
    </row>
    <row r="569" spans="2:2" x14ac:dyDescent="0.3">
      <c r="B569" s="8"/>
    </row>
    <row r="570" spans="2:2" x14ac:dyDescent="0.3">
      <c r="B570" s="8"/>
    </row>
    <row r="571" spans="2:2" x14ac:dyDescent="0.3">
      <c r="B571" s="8"/>
    </row>
    <row r="572" spans="2:2" x14ac:dyDescent="0.3">
      <c r="B572" s="8"/>
    </row>
    <row r="573" spans="2:2" x14ac:dyDescent="0.3">
      <c r="B573" s="8"/>
    </row>
    <row r="574" spans="2:2" x14ac:dyDescent="0.3">
      <c r="B574" s="8"/>
    </row>
    <row r="575" spans="2:2" x14ac:dyDescent="0.3">
      <c r="B575" s="8"/>
    </row>
    <row r="576" spans="2:2" x14ac:dyDescent="0.3">
      <c r="B576" s="8"/>
    </row>
    <row r="577" spans="2:2" x14ac:dyDescent="0.3">
      <c r="B577" s="8"/>
    </row>
    <row r="578" spans="2:2" x14ac:dyDescent="0.3">
      <c r="B578" s="8"/>
    </row>
    <row r="579" spans="2:2" x14ac:dyDescent="0.3">
      <c r="B579" s="8"/>
    </row>
    <row r="580" spans="2:2" x14ac:dyDescent="0.3">
      <c r="B580" s="8"/>
    </row>
    <row r="581" spans="2:2" x14ac:dyDescent="0.3">
      <c r="B581" s="8"/>
    </row>
    <row r="582" spans="2:2" x14ac:dyDescent="0.3">
      <c r="B582" s="8"/>
    </row>
    <row r="583" spans="2:2" x14ac:dyDescent="0.3">
      <c r="B583" s="8"/>
    </row>
    <row r="584" spans="2:2" x14ac:dyDescent="0.3">
      <c r="B584" s="8"/>
    </row>
    <row r="585" spans="2:2" x14ac:dyDescent="0.3">
      <c r="B585" s="8"/>
    </row>
    <row r="586" spans="2:2" x14ac:dyDescent="0.3">
      <c r="B586" s="8"/>
    </row>
    <row r="587" spans="2:2" x14ac:dyDescent="0.3">
      <c r="B587" s="8"/>
    </row>
    <row r="588" spans="2:2" x14ac:dyDescent="0.3">
      <c r="B588" s="8"/>
    </row>
    <row r="589" spans="2:2" x14ac:dyDescent="0.3">
      <c r="B589" s="8"/>
    </row>
    <row r="590" spans="2:2" x14ac:dyDescent="0.3">
      <c r="B590" s="8"/>
    </row>
    <row r="591" spans="2:2" x14ac:dyDescent="0.3">
      <c r="B591" s="8"/>
    </row>
    <row r="592" spans="2:2" x14ac:dyDescent="0.3">
      <c r="B592" s="8"/>
    </row>
    <row r="593" spans="2:2" x14ac:dyDescent="0.3">
      <c r="B593" s="8"/>
    </row>
    <row r="594" spans="2:2" x14ac:dyDescent="0.3">
      <c r="B594" s="8"/>
    </row>
    <row r="595" spans="2:2" x14ac:dyDescent="0.3">
      <c r="B595" s="8"/>
    </row>
    <row r="596" spans="2:2" x14ac:dyDescent="0.3">
      <c r="B596" s="8"/>
    </row>
    <row r="597" spans="2:2" x14ac:dyDescent="0.3">
      <c r="B597" s="8"/>
    </row>
    <row r="598" spans="2:2" x14ac:dyDescent="0.3">
      <c r="B598" s="8"/>
    </row>
    <row r="599" spans="2:2" x14ac:dyDescent="0.3">
      <c r="B599" s="8"/>
    </row>
    <row r="600" spans="2:2" x14ac:dyDescent="0.3">
      <c r="B600" s="8"/>
    </row>
    <row r="601" spans="2:2" x14ac:dyDescent="0.3">
      <c r="B601" s="8"/>
    </row>
    <row r="602" spans="2:2" x14ac:dyDescent="0.3">
      <c r="B602" s="8"/>
    </row>
    <row r="603" spans="2:2" x14ac:dyDescent="0.3">
      <c r="B603" s="8"/>
    </row>
    <row r="604" spans="2:2" x14ac:dyDescent="0.3">
      <c r="B604" s="8"/>
    </row>
    <row r="605" spans="2:2" x14ac:dyDescent="0.3">
      <c r="B605" s="8"/>
    </row>
    <row r="606" spans="2:2" x14ac:dyDescent="0.3">
      <c r="B606" s="8"/>
    </row>
    <row r="607" spans="2:2" x14ac:dyDescent="0.3">
      <c r="B607" s="8"/>
    </row>
    <row r="608" spans="2:2" x14ac:dyDescent="0.3">
      <c r="B608" s="8"/>
    </row>
    <row r="609" spans="2:2" x14ac:dyDescent="0.3">
      <c r="B609" s="8"/>
    </row>
    <row r="610" spans="2:2" x14ac:dyDescent="0.3">
      <c r="B610" s="8"/>
    </row>
    <row r="611" spans="2:2" x14ac:dyDescent="0.3">
      <c r="B611" s="8"/>
    </row>
    <row r="612" spans="2:2" x14ac:dyDescent="0.3">
      <c r="B612" s="8"/>
    </row>
    <row r="613" spans="2:2" x14ac:dyDescent="0.3">
      <c r="B613" s="8"/>
    </row>
    <row r="614" spans="2:2" x14ac:dyDescent="0.3">
      <c r="B614" s="8"/>
    </row>
    <row r="615" spans="2:2" x14ac:dyDescent="0.3">
      <c r="B615" s="8"/>
    </row>
    <row r="616" spans="2:2" x14ac:dyDescent="0.3">
      <c r="B616" s="8"/>
    </row>
    <row r="617" spans="2:2" x14ac:dyDescent="0.3">
      <c r="B617" s="8"/>
    </row>
    <row r="618" spans="2:2" x14ac:dyDescent="0.3">
      <c r="B618" s="8"/>
    </row>
    <row r="619" spans="2:2" x14ac:dyDescent="0.3">
      <c r="B619" s="8"/>
    </row>
    <row r="620" spans="2:2" x14ac:dyDescent="0.3">
      <c r="B620" s="8"/>
    </row>
    <row r="621" spans="2:2" x14ac:dyDescent="0.3">
      <c r="B621" s="8"/>
    </row>
    <row r="622" spans="2:2" x14ac:dyDescent="0.3">
      <c r="B622" s="8"/>
    </row>
    <row r="623" spans="2:2" x14ac:dyDescent="0.3">
      <c r="B623" s="8"/>
    </row>
    <row r="624" spans="2:2" x14ac:dyDescent="0.3">
      <c r="B624" s="8"/>
    </row>
    <row r="625" spans="2:2" x14ac:dyDescent="0.3">
      <c r="B625" s="8"/>
    </row>
    <row r="626" spans="2:2" x14ac:dyDescent="0.3">
      <c r="B626" s="8"/>
    </row>
    <row r="627" spans="2:2" x14ac:dyDescent="0.3">
      <c r="B627" s="8"/>
    </row>
    <row r="628" spans="2:2" x14ac:dyDescent="0.3">
      <c r="B628" s="8"/>
    </row>
    <row r="629" spans="2:2" x14ac:dyDescent="0.3">
      <c r="B629" s="8"/>
    </row>
    <row r="630" spans="2:2" x14ac:dyDescent="0.3">
      <c r="B630" s="8"/>
    </row>
    <row r="631" spans="2:2" x14ac:dyDescent="0.3">
      <c r="B631" s="8"/>
    </row>
    <row r="632" spans="2:2" x14ac:dyDescent="0.3">
      <c r="B632" s="8"/>
    </row>
    <row r="633" spans="2:2" x14ac:dyDescent="0.3">
      <c r="B633" s="8"/>
    </row>
    <row r="634" spans="2:2" x14ac:dyDescent="0.3">
      <c r="B634" s="8"/>
    </row>
    <row r="635" spans="2:2" x14ac:dyDescent="0.3">
      <c r="B635" s="8"/>
    </row>
    <row r="636" spans="2:2" x14ac:dyDescent="0.3">
      <c r="B636" s="8"/>
    </row>
    <row r="637" spans="2:2" x14ac:dyDescent="0.3">
      <c r="B637" s="8"/>
    </row>
    <row r="638" spans="2:2" x14ac:dyDescent="0.3">
      <c r="B638" s="8"/>
    </row>
    <row r="639" spans="2:2" x14ac:dyDescent="0.3">
      <c r="B639" s="8"/>
    </row>
    <row r="640" spans="2:2" x14ac:dyDescent="0.3">
      <c r="B640" s="8"/>
    </row>
    <row r="641" spans="2:2" x14ac:dyDescent="0.3">
      <c r="B641" s="8"/>
    </row>
    <row r="642" spans="2:2" x14ac:dyDescent="0.3">
      <c r="B642" s="8"/>
    </row>
    <row r="643" spans="2:2" x14ac:dyDescent="0.3">
      <c r="B643" s="8"/>
    </row>
    <row r="644" spans="2:2" x14ac:dyDescent="0.3">
      <c r="B644" s="8"/>
    </row>
    <row r="645" spans="2:2" x14ac:dyDescent="0.3">
      <c r="B645" s="8"/>
    </row>
    <row r="646" spans="2:2" x14ac:dyDescent="0.3">
      <c r="B646" s="8"/>
    </row>
    <row r="647" spans="2:2" x14ac:dyDescent="0.3">
      <c r="B647" s="8"/>
    </row>
    <row r="648" spans="2:2" x14ac:dyDescent="0.3">
      <c r="B648" s="8"/>
    </row>
    <row r="649" spans="2:2" x14ac:dyDescent="0.3">
      <c r="B649" s="8"/>
    </row>
    <row r="650" spans="2:2" x14ac:dyDescent="0.3">
      <c r="B650" s="8"/>
    </row>
    <row r="651" spans="2:2" x14ac:dyDescent="0.3">
      <c r="B651" s="8"/>
    </row>
    <row r="652" spans="2:2" x14ac:dyDescent="0.3">
      <c r="B652" s="8"/>
    </row>
    <row r="653" spans="2:2" x14ac:dyDescent="0.3">
      <c r="B653" s="8"/>
    </row>
    <row r="654" spans="2:2" x14ac:dyDescent="0.3">
      <c r="B654" s="8"/>
    </row>
    <row r="655" spans="2:2" x14ac:dyDescent="0.3">
      <c r="B655" s="8"/>
    </row>
    <row r="656" spans="2:2" x14ac:dyDescent="0.3">
      <c r="B656" s="8"/>
    </row>
    <row r="657" spans="2:2" x14ac:dyDescent="0.3">
      <c r="B657" s="8"/>
    </row>
    <row r="658" spans="2:2" x14ac:dyDescent="0.3">
      <c r="B658" s="8"/>
    </row>
    <row r="659" spans="2:2" x14ac:dyDescent="0.3">
      <c r="B659" s="8"/>
    </row>
    <row r="660" spans="2:2" x14ac:dyDescent="0.3">
      <c r="B660" s="8"/>
    </row>
    <row r="661" spans="2:2" x14ac:dyDescent="0.3">
      <c r="B661" s="8"/>
    </row>
    <row r="662" spans="2:2" x14ac:dyDescent="0.3">
      <c r="B662" s="8"/>
    </row>
    <row r="663" spans="2:2" x14ac:dyDescent="0.3">
      <c r="B663" s="8"/>
    </row>
    <row r="664" spans="2:2" x14ac:dyDescent="0.3">
      <c r="B664" s="8"/>
    </row>
    <row r="665" spans="2:2" x14ac:dyDescent="0.3">
      <c r="B665" s="8"/>
    </row>
    <row r="666" spans="2:2" x14ac:dyDescent="0.3">
      <c r="B666" s="8"/>
    </row>
    <row r="667" spans="2:2" x14ac:dyDescent="0.3">
      <c r="B667" s="8"/>
    </row>
    <row r="668" spans="2:2" x14ac:dyDescent="0.3">
      <c r="B668" s="8"/>
    </row>
    <row r="669" spans="2:2" x14ac:dyDescent="0.3">
      <c r="B669" s="8"/>
    </row>
    <row r="670" spans="2:2" x14ac:dyDescent="0.3">
      <c r="B670" s="8"/>
    </row>
    <row r="671" spans="2:2" x14ac:dyDescent="0.3">
      <c r="B671" s="8"/>
    </row>
    <row r="672" spans="2:2" x14ac:dyDescent="0.3">
      <c r="B672" s="8"/>
    </row>
    <row r="673" spans="2:2" x14ac:dyDescent="0.3">
      <c r="B673" s="8"/>
    </row>
    <row r="674" spans="2:2" x14ac:dyDescent="0.3">
      <c r="B674" s="8"/>
    </row>
    <row r="675" spans="2:2" x14ac:dyDescent="0.3">
      <c r="B675" s="8"/>
    </row>
    <row r="676" spans="2:2" x14ac:dyDescent="0.3">
      <c r="B676" s="8"/>
    </row>
    <row r="677" spans="2:2" x14ac:dyDescent="0.3">
      <c r="B677" s="8"/>
    </row>
    <row r="678" spans="2:2" x14ac:dyDescent="0.3">
      <c r="B678" s="8"/>
    </row>
    <row r="679" spans="2:2" x14ac:dyDescent="0.3">
      <c r="B679" s="8"/>
    </row>
    <row r="680" spans="2:2" x14ac:dyDescent="0.3">
      <c r="B680" s="8"/>
    </row>
    <row r="681" spans="2:2" x14ac:dyDescent="0.3">
      <c r="B681" s="8"/>
    </row>
    <row r="682" spans="2:2" x14ac:dyDescent="0.3">
      <c r="B682" s="8"/>
    </row>
    <row r="683" spans="2:2" x14ac:dyDescent="0.3">
      <c r="B683" s="8"/>
    </row>
    <row r="684" spans="2:2" x14ac:dyDescent="0.3">
      <c r="B684" s="8"/>
    </row>
    <row r="685" spans="2:2" x14ac:dyDescent="0.3">
      <c r="B685" s="8"/>
    </row>
    <row r="686" spans="2:2" x14ac:dyDescent="0.3">
      <c r="B686" s="8"/>
    </row>
    <row r="687" spans="2:2" x14ac:dyDescent="0.3">
      <c r="B687" s="8"/>
    </row>
    <row r="688" spans="2:2" x14ac:dyDescent="0.3">
      <c r="B688" s="8"/>
    </row>
    <row r="689" spans="2:2" x14ac:dyDescent="0.3">
      <c r="B689" s="8"/>
    </row>
    <row r="690" spans="2:2" x14ac:dyDescent="0.3">
      <c r="B690" s="8"/>
    </row>
    <row r="691" spans="2:2" x14ac:dyDescent="0.3">
      <c r="B691" s="8"/>
    </row>
    <row r="692" spans="2:2" x14ac:dyDescent="0.3">
      <c r="B692" s="8"/>
    </row>
    <row r="693" spans="2:2" x14ac:dyDescent="0.3">
      <c r="B693" s="8"/>
    </row>
    <row r="694" spans="2:2" x14ac:dyDescent="0.3">
      <c r="B694" s="8"/>
    </row>
    <row r="695" spans="2:2" x14ac:dyDescent="0.3">
      <c r="B695" s="8"/>
    </row>
    <row r="696" spans="2:2" x14ac:dyDescent="0.3">
      <c r="B696" s="8"/>
    </row>
    <row r="697" spans="2:2" x14ac:dyDescent="0.3">
      <c r="B697" s="8"/>
    </row>
    <row r="698" spans="2:2" x14ac:dyDescent="0.3">
      <c r="B698" s="8"/>
    </row>
    <row r="699" spans="2:2" x14ac:dyDescent="0.3">
      <c r="B699" s="8"/>
    </row>
    <row r="700" spans="2:2" x14ac:dyDescent="0.3">
      <c r="B700" s="8"/>
    </row>
    <row r="701" spans="2:2" x14ac:dyDescent="0.3">
      <c r="B701" s="8"/>
    </row>
    <row r="702" spans="2:2" x14ac:dyDescent="0.3">
      <c r="B702" s="8"/>
    </row>
    <row r="703" spans="2:2" x14ac:dyDescent="0.3">
      <c r="B703" s="8"/>
    </row>
    <row r="704" spans="2:2" x14ac:dyDescent="0.3">
      <c r="B704" s="8"/>
    </row>
    <row r="705" spans="2:2" x14ac:dyDescent="0.3">
      <c r="B705" s="8"/>
    </row>
    <row r="706" spans="2:2" x14ac:dyDescent="0.3">
      <c r="B706" s="8"/>
    </row>
    <row r="707" spans="2:2" x14ac:dyDescent="0.3">
      <c r="B707" s="8"/>
    </row>
    <row r="708" spans="2:2" x14ac:dyDescent="0.3">
      <c r="B708" s="8"/>
    </row>
    <row r="709" spans="2:2" x14ac:dyDescent="0.3">
      <c r="B709" s="8"/>
    </row>
    <row r="710" spans="2:2" x14ac:dyDescent="0.3">
      <c r="B710" s="8"/>
    </row>
    <row r="711" spans="2:2" x14ac:dyDescent="0.3">
      <c r="B711" s="8"/>
    </row>
    <row r="712" spans="2:2" x14ac:dyDescent="0.3">
      <c r="B712" s="8"/>
    </row>
    <row r="713" spans="2:2" x14ac:dyDescent="0.3">
      <c r="B713" s="8"/>
    </row>
    <row r="714" spans="2:2" x14ac:dyDescent="0.3">
      <c r="B714" s="8"/>
    </row>
    <row r="715" spans="2:2" x14ac:dyDescent="0.3">
      <c r="B715" s="8"/>
    </row>
    <row r="716" spans="2:2" x14ac:dyDescent="0.3">
      <c r="B716" s="8"/>
    </row>
    <row r="717" spans="2:2" x14ac:dyDescent="0.3">
      <c r="B717" s="8"/>
    </row>
    <row r="718" spans="2:2" x14ac:dyDescent="0.3">
      <c r="B718" s="8"/>
    </row>
    <row r="719" spans="2:2" x14ac:dyDescent="0.3">
      <c r="B719" s="8"/>
    </row>
    <row r="720" spans="2:2" x14ac:dyDescent="0.3">
      <c r="B720" s="8"/>
    </row>
    <row r="721" spans="2:2" x14ac:dyDescent="0.3">
      <c r="B721" s="8"/>
    </row>
    <row r="722" spans="2:2" x14ac:dyDescent="0.3">
      <c r="B722" s="8"/>
    </row>
    <row r="723" spans="2:2" x14ac:dyDescent="0.3">
      <c r="B723" s="8"/>
    </row>
    <row r="724" spans="2:2" x14ac:dyDescent="0.3">
      <c r="B724" s="8"/>
    </row>
    <row r="725" spans="2:2" x14ac:dyDescent="0.3">
      <c r="B725" s="8"/>
    </row>
    <row r="726" spans="2:2" x14ac:dyDescent="0.3">
      <c r="B726" s="8"/>
    </row>
    <row r="727" spans="2:2" x14ac:dyDescent="0.3">
      <c r="B727" s="8"/>
    </row>
    <row r="728" spans="2:2" x14ac:dyDescent="0.3">
      <c r="B728" s="8"/>
    </row>
    <row r="729" spans="2:2" x14ac:dyDescent="0.3">
      <c r="B729" s="8"/>
    </row>
    <row r="730" spans="2:2" x14ac:dyDescent="0.3">
      <c r="B730" s="8"/>
    </row>
    <row r="731" spans="2:2" x14ac:dyDescent="0.3">
      <c r="B731" s="8"/>
    </row>
    <row r="732" spans="2:2" x14ac:dyDescent="0.3">
      <c r="B732" s="8"/>
    </row>
    <row r="733" spans="2:2" x14ac:dyDescent="0.3">
      <c r="B733" s="8"/>
    </row>
    <row r="734" spans="2:2" x14ac:dyDescent="0.3">
      <c r="B734" s="8"/>
    </row>
    <row r="735" spans="2:2" x14ac:dyDescent="0.3">
      <c r="B735" s="8"/>
    </row>
    <row r="736" spans="2:2" x14ac:dyDescent="0.3">
      <c r="B736" s="8"/>
    </row>
    <row r="737" spans="2:2" x14ac:dyDescent="0.3">
      <c r="B737" s="8"/>
    </row>
    <row r="738" spans="2:2" x14ac:dyDescent="0.3">
      <c r="B738" s="8"/>
    </row>
    <row r="739" spans="2:2" x14ac:dyDescent="0.3">
      <c r="B739" s="8"/>
    </row>
    <row r="740" spans="2:2" x14ac:dyDescent="0.3">
      <c r="B740" s="8"/>
    </row>
    <row r="741" spans="2:2" x14ac:dyDescent="0.3">
      <c r="B741" s="8"/>
    </row>
    <row r="742" spans="2:2" x14ac:dyDescent="0.3">
      <c r="B742" s="8"/>
    </row>
    <row r="743" spans="2:2" x14ac:dyDescent="0.3">
      <c r="B743" s="8"/>
    </row>
    <row r="744" spans="2:2" x14ac:dyDescent="0.3">
      <c r="B744" s="8"/>
    </row>
    <row r="745" spans="2:2" x14ac:dyDescent="0.3">
      <c r="B745" s="8"/>
    </row>
    <row r="746" spans="2:2" x14ac:dyDescent="0.3">
      <c r="B746" s="8"/>
    </row>
    <row r="747" spans="2:2" x14ac:dyDescent="0.3">
      <c r="B747" s="8"/>
    </row>
    <row r="748" spans="2:2" x14ac:dyDescent="0.3">
      <c r="B748" s="8"/>
    </row>
    <row r="749" spans="2:2" x14ac:dyDescent="0.3">
      <c r="B749" s="8"/>
    </row>
    <row r="750" spans="2:2" x14ac:dyDescent="0.3">
      <c r="B750" s="8"/>
    </row>
    <row r="751" spans="2:2" x14ac:dyDescent="0.3">
      <c r="B751" s="8"/>
    </row>
    <row r="752" spans="2:2" x14ac:dyDescent="0.3">
      <c r="B752" s="8"/>
    </row>
    <row r="753" spans="2:2" x14ac:dyDescent="0.3">
      <c r="B753" s="8"/>
    </row>
    <row r="754" spans="2:2" x14ac:dyDescent="0.3">
      <c r="B754" s="8"/>
    </row>
    <row r="755" spans="2:2" x14ac:dyDescent="0.3">
      <c r="B755" s="8"/>
    </row>
    <row r="756" spans="2:2" x14ac:dyDescent="0.3">
      <c r="B756" s="8"/>
    </row>
    <row r="757" spans="2:2" x14ac:dyDescent="0.3">
      <c r="B757" s="8"/>
    </row>
    <row r="758" spans="2:2" x14ac:dyDescent="0.3">
      <c r="B758" s="8"/>
    </row>
    <row r="759" spans="2:2" x14ac:dyDescent="0.3">
      <c r="B759" s="8"/>
    </row>
    <row r="760" spans="2:2" x14ac:dyDescent="0.3">
      <c r="B760" s="8"/>
    </row>
    <row r="761" spans="2:2" x14ac:dyDescent="0.3">
      <c r="B761" s="8"/>
    </row>
    <row r="762" spans="2:2" x14ac:dyDescent="0.3">
      <c r="B762" s="8"/>
    </row>
    <row r="763" spans="2:2" x14ac:dyDescent="0.3">
      <c r="B763" s="8"/>
    </row>
    <row r="764" spans="2:2" x14ac:dyDescent="0.3">
      <c r="B764" s="8"/>
    </row>
    <row r="765" spans="2:2" x14ac:dyDescent="0.3">
      <c r="B765" s="8"/>
    </row>
    <row r="766" spans="2:2" x14ac:dyDescent="0.3">
      <c r="B766" s="8"/>
    </row>
    <row r="767" spans="2:2" x14ac:dyDescent="0.3">
      <c r="B767" s="8"/>
    </row>
    <row r="768" spans="2:2" x14ac:dyDescent="0.3">
      <c r="B768" s="8"/>
    </row>
    <row r="769" spans="2:2" x14ac:dyDescent="0.3">
      <c r="B769" s="8"/>
    </row>
    <row r="770" spans="2:2" x14ac:dyDescent="0.3">
      <c r="B770" s="8"/>
    </row>
    <row r="771" spans="2:2" x14ac:dyDescent="0.3">
      <c r="B771" s="8"/>
    </row>
    <row r="772" spans="2:2" x14ac:dyDescent="0.3">
      <c r="B772" s="8"/>
    </row>
    <row r="773" spans="2:2" x14ac:dyDescent="0.3">
      <c r="B773" s="8"/>
    </row>
    <row r="774" spans="2:2" x14ac:dyDescent="0.3">
      <c r="B774" s="8"/>
    </row>
    <row r="775" spans="2:2" x14ac:dyDescent="0.3">
      <c r="B775" s="8"/>
    </row>
    <row r="776" spans="2:2" x14ac:dyDescent="0.3">
      <c r="B776" s="8"/>
    </row>
    <row r="777" spans="2:2" x14ac:dyDescent="0.3">
      <c r="B777" s="8"/>
    </row>
    <row r="778" spans="2:2" x14ac:dyDescent="0.3">
      <c r="B778" s="8"/>
    </row>
    <row r="779" spans="2:2" x14ac:dyDescent="0.3">
      <c r="B779" s="8"/>
    </row>
    <row r="780" spans="2:2" x14ac:dyDescent="0.3">
      <c r="B780" s="8"/>
    </row>
    <row r="781" spans="2:2" x14ac:dyDescent="0.3">
      <c r="B781" s="8"/>
    </row>
    <row r="782" spans="2:2" x14ac:dyDescent="0.3">
      <c r="B782" s="8"/>
    </row>
    <row r="783" spans="2:2" x14ac:dyDescent="0.3">
      <c r="B783" s="8"/>
    </row>
    <row r="784" spans="2:2" x14ac:dyDescent="0.3">
      <c r="B784" s="8"/>
    </row>
    <row r="785" spans="2:2" x14ac:dyDescent="0.3">
      <c r="B785" s="8"/>
    </row>
    <row r="786" spans="2:2" x14ac:dyDescent="0.3">
      <c r="B786" s="8"/>
    </row>
    <row r="787" spans="2:2" x14ac:dyDescent="0.3">
      <c r="B787" s="8"/>
    </row>
    <row r="788" spans="2:2" x14ac:dyDescent="0.3">
      <c r="B788" s="8"/>
    </row>
    <row r="789" spans="2:2" x14ac:dyDescent="0.3">
      <c r="B789" s="8"/>
    </row>
    <row r="790" spans="2:2" x14ac:dyDescent="0.3">
      <c r="B790" s="8"/>
    </row>
    <row r="791" spans="2:2" x14ac:dyDescent="0.3">
      <c r="B791" s="8"/>
    </row>
    <row r="792" spans="2:2" x14ac:dyDescent="0.3">
      <c r="B792" s="8"/>
    </row>
    <row r="793" spans="2:2" x14ac:dyDescent="0.3">
      <c r="B793" s="8"/>
    </row>
    <row r="794" spans="2:2" x14ac:dyDescent="0.3">
      <c r="B794" s="8"/>
    </row>
    <row r="795" spans="2:2" x14ac:dyDescent="0.3">
      <c r="B795" s="8"/>
    </row>
    <row r="796" spans="2:2" x14ac:dyDescent="0.3">
      <c r="B796" s="8"/>
    </row>
    <row r="797" spans="2:2" x14ac:dyDescent="0.3">
      <c r="B797" s="8"/>
    </row>
    <row r="798" spans="2:2" x14ac:dyDescent="0.3">
      <c r="B798" s="8"/>
    </row>
    <row r="799" spans="2:2" x14ac:dyDescent="0.3">
      <c r="B799" s="8"/>
    </row>
    <row r="800" spans="2:2" x14ac:dyDescent="0.3">
      <c r="B800" s="8"/>
    </row>
    <row r="801" spans="2:2" x14ac:dyDescent="0.3">
      <c r="B801" s="8"/>
    </row>
    <row r="802" spans="2:2" x14ac:dyDescent="0.3">
      <c r="B802" s="8"/>
    </row>
    <row r="803" spans="2:2" x14ac:dyDescent="0.3">
      <c r="B803" s="8"/>
    </row>
    <row r="804" spans="2:2" x14ac:dyDescent="0.3">
      <c r="B804" s="8"/>
    </row>
    <row r="805" spans="2:2" x14ac:dyDescent="0.3">
      <c r="B805" s="8"/>
    </row>
    <row r="806" spans="2:2" x14ac:dyDescent="0.3">
      <c r="B806" s="8"/>
    </row>
    <row r="807" spans="2:2" x14ac:dyDescent="0.3">
      <c r="B807" s="8"/>
    </row>
    <row r="808" spans="2:2" x14ac:dyDescent="0.3">
      <c r="B808" s="8"/>
    </row>
    <row r="809" spans="2:2" x14ac:dyDescent="0.3">
      <c r="B809" s="8"/>
    </row>
    <row r="810" spans="2:2" x14ac:dyDescent="0.3">
      <c r="B810" s="8"/>
    </row>
    <row r="811" spans="2:2" x14ac:dyDescent="0.3">
      <c r="B811" s="8"/>
    </row>
    <row r="812" spans="2:2" x14ac:dyDescent="0.3">
      <c r="B812" s="8"/>
    </row>
    <row r="813" spans="2:2" x14ac:dyDescent="0.3">
      <c r="B813" s="8"/>
    </row>
    <row r="814" spans="2:2" x14ac:dyDescent="0.3">
      <c r="B814" s="8"/>
    </row>
    <row r="815" spans="2:2" x14ac:dyDescent="0.3">
      <c r="B815" s="8"/>
    </row>
    <row r="816" spans="2:2" x14ac:dyDescent="0.3">
      <c r="B816" s="8"/>
    </row>
    <row r="817" spans="2:2" x14ac:dyDescent="0.3">
      <c r="B817" s="8"/>
    </row>
    <row r="818" spans="2:2" x14ac:dyDescent="0.3">
      <c r="B818" s="8"/>
    </row>
    <row r="819" spans="2:2" x14ac:dyDescent="0.3">
      <c r="B819" s="8"/>
    </row>
    <row r="820" spans="2:2" x14ac:dyDescent="0.3">
      <c r="B820" s="8"/>
    </row>
    <row r="821" spans="2:2" x14ac:dyDescent="0.3">
      <c r="B821" s="8"/>
    </row>
    <row r="822" spans="2:2" x14ac:dyDescent="0.3">
      <c r="B822" s="8"/>
    </row>
    <row r="823" spans="2:2" x14ac:dyDescent="0.3">
      <c r="B823" s="8"/>
    </row>
    <row r="824" spans="2:2" x14ac:dyDescent="0.3">
      <c r="B824" s="8"/>
    </row>
    <row r="825" spans="2:2" x14ac:dyDescent="0.3">
      <c r="B825" s="8"/>
    </row>
    <row r="826" spans="2:2" x14ac:dyDescent="0.3">
      <c r="B826" s="8"/>
    </row>
    <row r="827" spans="2:2" x14ac:dyDescent="0.3">
      <c r="B827" s="8"/>
    </row>
    <row r="828" spans="2:2" x14ac:dyDescent="0.3">
      <c r="B828" s="8"/>
    </row>
    <row r="829" spans="2:2" x14ac:dyDescent="0.3">
      <c r="B829" s="8"/>
    </row>
    <row r="830" spans="2:2" x14ac:dyDescent="0.3">
      <c r="B830" s="8"/>
    </row>
    <row r="831" spans="2:2" x14ac:dyDescent="0.3">
      <c r="B831" s="8"/>
    </row>
    <row r="832" spans="2:2" x14ac:dyDescent="0.3">
      <c r="B832" s="8"/>
    </row>
    <row r="833" spans="2:2" x14ac:dyDescent="0.3">
      <c r="B833" s="8"/>
    </row>
    <row r="834" spans="2:2" x14ac:dyDescent="0.3">
      <c r="B834" s="8"/>
    </row>
    <row r="835" spans="2:2" x14ac:dyDescent="0.3">
      <c r="B835" s="8"/>
    </row>
    <row r="836" spans="2:2" x14ac:dyDescent="0.3">
      <c r="B836" s="8"/>
    </row>
    <row r="837" spans="2:2" x14ac:dyDescent="0.3">
      <c r="B837" s="8"/>
    </row>
    <row r="838" spans="2:2" x14ac:dyDescent="0.3">
      <c r="B838" s="8"/>
    </row>
    <row r="839" spans="2:2" x14ac:dyDescent="0.3">
      <c r="B839" s="8"/>
    </row>
    <row r="840" spans="2:2" x14ac:dyDescent="0.3">
      <c r="B840" s="8"/>
    </row>
    <row r="841" spans="2:2" x14ac:dyDescent="0.3">
      <c r="B841" s="8"/>
    </row>
    <row r="842" spans="2:2" x14ac:dyDescent="0.3">
      <c r="B842" s="8"/>
    </row>
    <row r="843" spans="2:2" x14ac:dyDescent="0.3">
      <c r="B843" s="8"/>
    </row>
    <row r="844" spans="2:2" x14ac:dyDescent="0.3">
      <c r="B844" s="8"/>
    </row>
    <row r="845" spans="2:2" x14ac:dyDescent="0.3">
      <c r="B845" s="8"/>
    </row>
    <row r="846" spans="2:2" x14ac:dyDescent="0.3">
      <c r="B846" s="8"/>
    </row>
    <row r="847" spans="2:2" x14ac:dyDescent="0.3">
      <c r="B847" s="8"/>
    </row>
    <row r="848" spans="2:2" x14ac:dyDescent="0.3">
      <c r="B848" s="8"/>
    </row>
    <row r="849" spans="2:2" x14ac:dyDescent="0.3">
      <c r="B849" s="8"/>
    </row>
    <row r="850" spans="2:2" x14ac:dyDescent="0.3">
      <c r="B850" s="8"/>
    </row>
    <row r="851" spans="2:2" x14ac:dyDescent="0.3">
      <c r="B851" s="8"/>
    </row>
    <row r="852" spans="2:2" x14ac:dyDescent="0.3">
      <c r="B852" s="8"/>
    </row>
    <row r="853" spans="2:2" x14ac:dyDescent="0.3">
      <c r="B853" s="8"/>
    </row>
    <row r="854" spans="2:2" x14ac:dyDescent="0.3">
      <c r="B854" s="8"/>
    </row>
    <row r="855" spans="2:2" x14ac:dyDescent="0.3">
      <c r="B855" s="8"/>
    </row>
    <row r="856" spans="2:2" x14ac:dyDescent="0.3">
      <c r="B856" s="8"/>
    </row>
    <row r="857" spans="2:2" x14ac:dyDescent="0.3">
      <c r="B857" s="8"/>
    </row>
    <row r="858" spans="2:2" x14ac:dyDescent="0.3">
      <c r="B858" s="8"/>
    </row>
    <row r="859" spans="2:2" x14ac:dyDescent="0.3">
      <c r="B859" s="8"/>
    </row>
    <row r="860" spans="2:2" x14ac:dyDescent="0.3">
      <c r="B860" s="8"/>
    </row>
    <row r="861" spans="2:2" x14ac:dyDescent="0.3">
      <c r="B861" s="8"/>
    </row>
    <row r="862" spans="2:2" x14ac:dyDescent="0.3">
      <c r="B862" s="8"/>
    </row>
    <row r="863" spans="2:2" x14ac:dyDescent="0.3">
      <c r="B863" s="8"/>
    </row>
    <row r="864" spans="2:2" x14ac:dyDescent="0.3">
      <c r="B864" s="8"/>
    </row>
    <row r="865" spans="2:2" x14ac:dyDescent="0.3">
      <c r="B865" s="8"/>
    </row>
    <row r="866" spans="2:2" x14ac:dyDescent="0.3">
      <c r="B866" s="8"/>
    </row>
    <row r="867" spans="2:2" x14ac:dyDescent="0.3">
      <c r="B867" s="8"/>
    </row>
    <row r="868" spans="2:2" x14ac:dyDescent="0.3">
      <c r="B868" s="8"/>
    </row>
    <row r="869" spans="2:2" x14ac:dyDescent="0.3">
      <c r="B869" s="8"/>
    </row>
    <row r="870" spans="2:2" x14ac:dyDescent="0.3">
      <c r="B870" s="8"/>
    </row>
    <row r="871" spans="2:2" x14ac:dyDescent="0.3">
      <c r="B871" s="8"/>
    </row>
    <row r="872" spans="2:2" x14ac:dyDescent="0.3">
      <c r="B872" s="8"/>
    </row>
    <row r="873" spans="2:2" x14ac:dyDescent="0.3">
      <c r="B873" s="8"/>
    </row>
    <row r="874" spans="2:2" x14ac:dyDescent="0.3">
      <c r="B874" s="8"/>
    </row>
    <row r="875" spans="2:2" x14ac:dyDescent="0.3">
      <c r="B875" s="8"/>
    </row>
    <row r="876" spans="2:2" x14ac:dyDescent="0.3">
      <c r="B876" s="8"/>
    </row>
    <row r="877" spans="2:2" x14ac:dyDescent="0.3">
      <c r="B877" s="8"/>
    </row>
    <row r="878" spans="2:2" x14ac:dyDescent="0.3">
      <c r="B878" s="8"/>
    </row>
    <row r="879" spans="2:2" x14ac:dyDescent="0.3">
      <c r="B879" s="8"/>
    </row>
    <row r="880" spans="2:2" x14ac:dyDescent="0.3">
      <c r="B880" s="8"/>
    </row>
    <row r="881" spans="2:2" x14ac:dyDescent="0.3">
      <c r="B881" s="8"/>
    </row>
    <row r="882" spans="2:2" x14ac:dyDescent="0.3">
      <c r="B882" s="8"/>
    </row>
    <row r="883" spans="2:2" x14ac:dyDescent="0.3">
      <c r="B883" s="8"/>
    </row>
    <row r="884" spans="2:2" x14ac:dyDescent="0.3">
      <c r="B884" s="8"/>
    </row>
    <row r="885" spans="2:2" x14ac:dyDescent="0.3">
      <c r="B885" s="8"/>
    </row>
    <row r="886" spans="2:2" x14ac:dyDescent="0.3">
      <c r="B886" s="8"/>
    </row>
    <row r="887" spans="2:2" x14ac:dyDescent="0.3">
      <c r="B887" s="8"/>
    </row>
    <row r="888" spans="2:2" x14ac:dyDescent="0.3">
      <c r="B888" s="8"/>
    </row>
    <row r="889" spans="2:2" x14ac:dyDescent="0.3">
      <c r="B889" s="8"/>
    </row>
    <row r="890" spans="2:2" x14ac:dyDescent="0.3">
      <c r="B890" s="8"/>
    </row>
    <row r="891" spans="2:2" x14ac:dyDescent="0.3">
      <c r="B891" s="8"/>
    </row>
    <row r="892" spans="2:2" x14ac:dyDescent="0.3">
      <c r="B892" s="8"/>
    </row>
    <row r="893" spans="2:2" x14ac:dyDescent="0.3">
      <c r="B893" s="8"/>
    </row>
    <row r="894" spans="2:2" x14ac:dyDescent="0.3">
      <c r="B894" s="8"/>
    </row>
    <row r="895" spans="2:2" x14ac:dyDescent="0.3">
      <c r="B895" s="8"/>
    </row>
    <row r="896" spans="2:2" x14ac:dyDescent="0.3">
      <c r="B896" s="8"/>
    </row>
    <row r="897" spans="2:2" x14ac:dyDescent="0.3">
      <c r="B897" s="8"/>
    </row>
    <row r="898" spans="2:2" x14ac:dyDescent="0.3">
      <c r="B898" s="8"/>
    </row>
    <row r="899" spans="2:2" x14ac:dyDescent="0.3">
      <c r="B899" s="8"/>
    </row>
    <row r="900" spans="2:2" x14ac:dyDescent="0.3">
      <c r="B900" s="8"/>
    </row>
    <row r="901" spans="2:2" x14ac:dyDescent="0.3">
      <c r="B901" s="8"/>
    </row>
    <row r="902" spans="2:2" x14ac:dyDescent="0.3">
      <c r="B902" s="8"/>
    </row>
    <row r="903" spans="2:2" x14ac:dyDescent="0.3">
      <c r="B903" s="8"/>
    </row>
    <row r="904" spans="2:2" x14ac:dyDescent="0.3">
      <c r="B904" s="8"/>
    </row>
    <row r="905" spans="2:2" x14ac:dyDescent="0.3">
      <c r="B905" s="8"/>
    </row>
    <row r="906" spans="2:2" x14ac:dyDescent="0.3">
      <c r="B906" s="8"/>
    </row>
    <row r="907" spans="2:2" x14ac:dyDescent="0.3">
      <c r="B907" s="8"/>
    </row>
    <row r="908" spans="2:2" x14ac:dyDescent="0.3">
      <c r="B908" s="8"/>
    </row>
    <row r="909" spans="2:2" x14ac:dyDescent="0.3">
      <c r="B909" s="8"/>
    </row>
    <row r="910" spans="2:2" x14ac:dyDescent="0.3">
      <c r="B910" s="8"/>
    </row>
    <row r="911" spans="2:2" x14ac:dyDescent="0.3">
      <c r="B911" s="8"/>
    </row>
    <row r="912" spans="2:2" x14ac:dyDescent="0.3">
      <c r="B912" s="8"/>
    </row>
    <row r="913" spans="2:2" x14ac:dyDescent="0.3">
      <c r="B913" s="8"/>
    </row>
    <row r="914" spans="2:2" x14ac:dyDescent="0.3">
      <c r="B914" s="8"/>
    </row>
    <row r="915" spans="2:2" x14ac:dyDescent="0.3">
      <c r="B915" s="8"/>
    </row>
    <row r="916" spans="2:2" x14ac:dyDescent="0.3">
      <c r="B916" s="8"/>
    </row>
    <row r="917" spans="2:2" x14ac:dyDescent="0.3">
      <c r="B917" s="8"/>
    </row>
    <row r="918" spans="2:2" x14ac:dyDescent="0.3">
      <c r="B918" s="8"/>
    </row>
    <row r="919" spans="2:2" x14ac:dyDescent="0.3">
      <c r="B919" s="8"/>
    </row>
    <row r="920" spans="2:2" x14ac:dyDescent="0.3">
      <c r="B920" s="8"/>
    </row>
    <row r="921" spans="2:2" x14ac:dyDescent="0.3">
      <c r="B921" s="8"/>
    </row>
    <row r="922" spans="2:2" x14ac:dyDescent="0.3">
      <c r="B922" s="8"/>
    </row>
    <row r="923" spans="2:2" x14ac:dyDescent="0.3">
      <c r="B923" s="8"/>
    </row>
    <row r="924" spans="2:2" x14ac:dyDescent="0.3">
      <c r="B924" s="8"/>
    </row>
    <row r="925" spans="2:2" x14ac:dyDescent="0.3">
      <c r="B925" s="8"/>
    </row>
    <row r="926" spans="2:2" x14ac:dyDescent="0.3">
      <c r="B926" s="8"/>
    </row>
    <row r="927" spans="2:2" x14ac:dyDescent="0.3">
      <c r="B927" s="8"/>
    </row>
    <row r="928" spans="2:2" x14ac:dyDescent="0.3">
      <c r="B928" s="8"/>
    </row>
    <row r="929" spans="2:2" x14ac:dyDescent="0.3">
      <c r="B929" s="8"/>
    </row>
    <row r="930" spans="2:2" x14ac:dyDescent="0.3">
      <c r="B930" s="8"/>
    </row>
    <row r="931" spans="2:2" x14ac:dyDescent="0.3">
      <c r="B931" s="8"/>
    </row>
    <row r="932" spans="2:2" x14ac:dyDescent="0.3">
      <c r="B932" s="8"/>
    </row>
    <row r="933" spans="2:2" x14ac:dyDescent="0.3">
      <c r="B933" s="8"/>
    </row>
    <row r="934" spans="2:2" x14ac:dyDescent="0.3">
      <c r="B934" s="8"/>
    </row>
    <row r="935" spans="2:2" x14ac:dyDescent="0.3">
      <c r="B935" s="8"/>
    </row>
    <row r="936" spans="2:2" x14ac:dyDescent="0.3">
      <c r="B936" s="8"/>
    </row>
    <row r="937" spans="2:2" x14ac:dyDescent="0.3">
      <c r="B937" s="8"/>
    </row>
    <row r="938" spans="2:2" x14ac:dyDescent="0.3">
      <c r="B938" s="8"/>
    </row>
    <row r="939" spans="2:2" x14ac:dyDescent="0.3">
      <c r="B939" s="8"/>
    </row>
    <row r="940" spans="2:2" x14ac:dyDescent="0.3">
      <c r="B940" s="8"/>
    </row>
    <row r="941" spans="2:2" x14ac:dyDescent="0.3">
      <c r="B941" s="8"/>
    </row>
    <row r="942" spans="2:2" x14ac:dyDescent="0.3">
      <c r="B942" s="8"/>
    </row>
    <row r="943" spans="2:2" x14ac:dyDescent="0.3">
      <c r="B943" s="8"/>
    </row>
    <row r="944" spans="2:2" x14ac:dyDescent="0.3">
      <c r="B944" s="8"/>
    </row>
    <row r="945" spans="2:2" x14ac:dyDescent="0.3">
      <c r="B945" s="8"/>
    </row>
    <row r="946" spans="2:2" x14ac:dyDescent="0.3">
      <c r="B946" s="8"/>
    </row>
    <row r="947" spans="2:2" x14ac:dyDescent="0.3">
      <c r="B947" s="8"/>
    </row>
    <row r="948" spans="2:2" x14ac:dyDescent="0.3">
      <c r="B948" s="8"/>
    </row>
    <row r="949" spans="2:2" x14ac:dyDescent="0.3">
      <c r="B949" s="8"/>
    </row>
    <row r="950" spans="2:2" x14ac:dyDescent="0.3">
      <c r="B950" s="8"/>
    </row>
    <row r="951" spans="2:2" x14ac:dyDescent="0.3">
      <c r="B951" s="8"/>
    </row>
    <row r="952" spans="2:2" x14ac:dyDescent="0.3">
      <c r="B952" s="8"/>
    </row>
    <row r="953" spans="2:2" x14ac:dyDescent="0.3">
      <c r="B953" s="8"/>
    </row>
    <row r="954" spans="2:2" x14ac:dyDescent="0.3">
      <c r="B954" s="8"/>
    </row>
    <row r="955" spans="2:2" x14ac:dyDescent="0.3">
      <c r="B955" s="8"/>
    </row>
    <row r="956" spans="2:2" x14ac:dyDescent="0.3">
      <c r="B956" s="8"/>
    </row>
    <row r="957" spans="2:2" x14ac:dyDescent="0.3">
      <c r="B957" s="8"/>
    </row>
    <row r="958" spans="2:2" x14ac:dyDescent="0.3">
      <c r="B958" s="8"/>
    </row>
    <row r="959" spans="2:2" x14ac:dyDescent="0.3">
      <c r="B959" s="8"/>
    </row>
    <row r="960" spans="2:2" x14ac:dyDescent="0.3">
      <c r="B960" s="8"/>
    </row>
    <row r="961" spans="2:2" x14ac:dyDescent="0.3">
      <c r="B961" s="8"/>
    </row>
    <row r="962" spans="2:2" x14ac:dyDescent="0.3">
      <c r="B962" s="8"/>
    </row>
    <row r="963" spans="2:2" x14ac:dyDescent="0.3">
      <c r="B963" s="8"/>
    </row>
    <row r="964" spans="2:2" x14ac:dyDescent="0.3">
      <c r="B964" s="8"/>
    </row>
    <row r="965" spans="2:2" x14ac:dyDescent="0.3">
      <c r="B965" s="8"/>
    </row>
    <row r="966" spans="2:2" x14ac:dyDescent="0.3">
      <c r="B966" s="8"/>
    </row>
    <row r="967" spans="2:2" x14ac:dyDescent="0.3">
      <c r="B967" s="8"/>
    </row>
    <row r="968" spans="2:2" x14ac:dyDescent="0.3">
      <c r="B968" s="8"/>
    </row>
    <row r="969" spans="2:2" x14ac:dyDescent="0.3">
      <c r="B969" s="8"/>
    </row>
    <row r="970" spans="2:2" x14ac:dyDescent="0.3">
      <c r="B970" s="8"/>
    </row>
    <row r="971" spans="2:2" x14ac:dyDescent="0.3">
      <c r="B971" s="8"/>
    </row>
    <row r="972" spans="2:2" x14ac:dyDescent="0.3">
      <c r="B972" s="8"/>
    </row>
    <row r="973" spans="2:2" x14ac:dyDescent="0.3">
      <c r="B973" s="8"/>
    </row>
    <row r="974" spans="2:2" x14ac:dyDescent="0.3">
      <c r="B974" s="8"/>
    </row>
    <row r="975" spans="2:2" x14ac:dyDescent="0.3">
      <c r="B975" s="8"/>
    </row>
    <row r="976" spans="2:2" x14ac:dyDescent="0.3">
      <c r="B976" s="8"/>
    </row>
    <row r="977" spans="2:2" x14ac:dyDescent="0.3">
      <c r="B977" s="8"/>
    </row>
    <row r="978" spans="2:2" x14ac:dyDescent="0.3">
      <c r="B978" s="8"/>
    </row>
    <row r="979" spans="2:2" x14ac:dyDescent="0.3">
      <c r="B979" s="8"/>
    </row>
    <row r="980" spans="2:2" x14ac:dyDescent="0.3">
      <c r="B980" s="8"/>
    </row>
    <row r="981" spans="2:2" x14ac:dyDescent="0.3">
      <c r="B981" s="8"/>
    </row>
    <row r="982" spans="2:2" x14ac:dyDescent="0.3">
      <c r="B982" s="8"/>
    </row>
    <row r="983" spans="2:2" x14ac:dyDescent="0.3">
      <c r="B983" s="8"/>
    </row>
    <row r="984" spans="2:2" x14ac:dyDescent="0.3">
      <c r="B984" s="8"/>
    </row>
    <row r="985" spans="2:2" x14ac:dyDescent="0.3">
      <c r="B985" s="8"/>
    </row>
    <row r="986" spans="2:2" x14ac:dyDescent="0.3">
      <c r="B986" s="8"/>
    </row>
    <row r="987" spans="2:2" x14ac:dyDescent="0.3">
      <c r="B987" s="8"/>
    </row>
    <row r="988" spans="2:2" x14ac:dyDescent="0.3">
      <c r="B988" s="8"/>
    </row>
    <row r="989" spans="2:2" x14ac:dyDescent="0.3">
      <c r="B989" s="8"/>
    </row>
    <row r="990" spans="2:2" x14ac:dyDescent="0.3">
      <c r="B990" s="8"/>
    </row>
    <row r="991" spans="2:2" x14ac:dyDescent="0.3">
      <c r="B991" s="8"/>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E3834D-4A5C-4276-B496-007C7D03FD0E}">
  <sheetPr>
    <tabColor theme="9" tint="0.39997558519241921"/>
  </sheetPr>
  <dimension ref="A1:I126"/>
  <sheetViews>
    <sheetView zoomScale="84" workbookViewId="0">
      <selection activeCell="A126" sqref="A126:XFD126"/>
    </sheetView>
  </sheetViews>
  <sheetFormatPr defaultRowHeight="14.4" x14ac:dyDescent="0.3"/>
  <cols>
    <col min="1" max="1" width="12.5546875" customWidth="1"/>
    <col min="2" max="2" width="18.88671875" customWidth="1"/>
    <col min="3" max="3" width="15.5546875" customWidth="1"/>
    <col min="4" max="4" width="14" customWidth="1"/>
    <col min="5" max="5" width="14.5546875" customWidth="1"/>
    <col min="6" max="6" width="15.6640625" customWidth="1"/>
    <col min="7" max="7" width="26.33203125" style="10" customWidth="1"/>
    <col min="8" max="8" width="20" customWidth="1"/>
    <col min="9" max="9" width="16.44140625" customWidth="1"/>
  </cols>
  <sheetData>
    <row r="1" spans="1:9" ht="18.600000000000001" customHeight="1" x14ac:dyDescent="0.3">
      <c r="A1" s="22" t="s">
        <v>1033</v>
      </c>
      <c r="B1" s="23" t="s">
        <v>1038</v>
      </c>
      <c r="C1" s="23" t="s">
        <v>2261</v>
      </c>
      <c r="D1" s="23" t="s">
        <v>2262</v>
      </c>
      <c r="E1" s="23" t="s">
        <v>2263</v>
      </c>
      <c r="F1" s="23" t="s">
        <v>1035</v>
      </c>
      <c r="G1" s="24" t="s">
        <v>2264</v>
      </c>
      <c r="H1" s="25" t="s">
        <v>2265</v>
      </c>
      <c r="I1" s="23" t="s">
        <v>2399</v>
      </c>
    </row>
    <row r="2" spans="1:9" x14ac:dyDescent="0.3">
      <c r="A2" s="3" t="s">
        <v>1083</v>
      </c>
      <c r="B2" s="9">
        <f>_xlfn.XLOOKUP(A2,tbl_Demand_Analysis[Product_ID],tbl_Demand_Analysis[Avg_Daily_Demand])</f>
        <v>69</v>
      </c>
      <c r="C2" s="1" cm="1">
        <f t="array" ref="C2">_xlfn.XLOOKUP(A2,tbl_Demand_Analysis[Product_ID], tbl_Products[Lead_Time_(Days)])</f>
        <v>7</v>
      </c>
      <c r="D2" s="9">
        <f>(_xlfn.XLOOKUP(A2, tbl_Demand_Analysis[Product_ID], tbl_Demand_Analysis[Max_Daily_Demand]) - B2) * C2</f>
        <v>77</v>
      </c>
      <c r="E2" s="1">
        <f>(B2*C2)+D2</f>
        <v>560</v>
      </c>
      <c r="F2" s="1">
        <f>_xlfn.XLOOKUP(A2,tbl_Inventory_Status[Product_ID], tbl_Inventory_Status[Current_Stock])</f>
        <v>421</v>
      </c>
      <c r="G2" s="9">
        <f>SQRT((2*(B2*365)*_xlfn.XLOOKUP(A2,tbl_Products[Product_ID],tbl_Products[Order_Cost_per_Unit]))/(_xlfn.XLOOKUP(A2,tbl_Products[Product_ID], tbl_Products[Holding_Cost_per_Unit(Monthly)])*12))</f>
        <v>1040.438925595701</v>
      </c>
      <c r="H2" s="20" t="str">
        <f t="shared" ref="H2:H33" si="0">IF(F2&lt;=E2,"REORDER","SUFFICIENT_STOCK")</f>
        <v>REORDER</v>
      </c>
      <c r="I2" s="43">
        <f>IF(tbl_Reorder_Optimization[[#This Row],[Action]]="Sufficient_stock",0,1)</f>
        <v>1</v>
      </c>
    </row>
    <row r="3" spans="1:9" x14ac:dyDescent="0.3">
      <c r="A3" s="3" t="s">
        <v>1085</v>
      </c>
      <c r="B3" s="9">
        <f>_xlfn.XLOOKUP(A3,tbl_Demand_Analysis[Product_ID],tbl_Demand_Analysis[Avg_Daily_Demand])</f>
        <v>56</v>
      </c>
      <c r="C3" s="1" cm="1">
        <f t="array" ref="C3">_xlfn.XLOOKUP(A3,tbl_Demand_Analysis[Product_ID], tbl_Products[Lead_Time_(Days)])</f>
        <v>8</v>
      </c>
      <c r="D3" s="9">
        <f>(_xlfn.XLOOKUP(A3, tbl_Demand_Analysis[Product_ID], tbl_Demand_Analysis[Max_Daily_Demand]) - B3) * C3</f>
        <v>72</v>
      </c>
      <c r="E3" s="1">
        <f t="shared" ref="E3:E66" si="1">(B3*C3)+D3</f>
        <v>520</v>
      </c>
      <c r="F3" s="1">
        <f>_xlfn.XLOOKUP(A3,tbl_Inventory_Status[Product_ID], tbl_Inventory_Status[Current_Stock])</f>
        <v>628</v>
      </c>
      <c r="G3" s="9">
        <f>SQRT((2*(B3*365)*_xlfn.XLOOKUP(A3,tbl_Products[Product_ID],tbl_Products[Order_Cost_per_Unit]))/(_xlfn.XLOOKUP(A3,tbl_Products[Product_ID], tbl_Products[Holding_Cost_per_Unit(Monthly)])*12))</f>
        <v>382.59666534528674</v>
      </c>
      <c r="H3" s="20" t="str">
        <f t="shared" si="0"/>
        <v>SUFFICIENT_STOCK</v>
      </c>
      <c r="I3" s="43">
        <f>IF(tbl_Reorder_Optimization[[#This Row],[Action]]="Sufficient_stock",0,1)</f>
        <v>0</v>
      </c>
    </row>
    <row r="4" spans="1:9" x14ac:dyDescent="0.3">
      <c r="A4" s="3" t="s">
        <v>1087</v>
      </c>
      <c r="B4" s="9">
        <f>_xlfn.XLOOKUP(A4,tbl_Demand_Analysis[Product_ID],tbl_Demand_Analysis[Avg_Daily_Demand])</f>
        <v>39</v>
      </c>
      <c r="C4" s="1" cm="1">
        <f t="array" ref="C4">_xlfn.XLOOKUP(A4,tbl_Demand_Analysis[Product_ID], tbl_Products[Lead_Time_(Days)])</f>
        <v>4</v>
      </c>
      <c r="D4" s="9">
        <f>(_xlfn.XLOOKUP(A4, tbl_Demand_Analysis[Product_ID], tbl_Demand_Analysis[Max_Daily_Demand]) - B4) * C4</f>
        <v>32</v>
      </c>
      <c r="E4" s="1">
        <f t="shared" si="1"/>
        <v>188</v>
      </c>
      <c r="F4" s="1">
        <f>_xlfn.XLOOKUP(A4,tbl_Inventory_Status[Product_ID], tbl_Inventory_Status[Current_Stock])</f>
        <v>463</v>
      </c>
      <c r="G4" s="9">
        <f>SQRT((2*(B4*365)*_xlfn.XLOOKUP(A4,tbl_Products[Product_ID],tbl_Products[Order_Cost_per_Unit]))/(_xlfn.XLOOKUP(A4,tbl_Products[Product_ID], tbl_Products[Holding_Cost_per_Unit(Monthly)])*12))</f>
        <v>419.00477324250136</v>
      </c>
      <c r="H4" s="20" t="str">
        <f t="shared" si="0"/>
        <v>SUFFICIENT_STOCK</v>
      </c>
      <c r="I4" s="43">
        <f>IF(tbl_Reorder_Optimization[[#This Row],[Action]]="Sufficient_stock",0,1)</f>
        <v>0</v>
      </c>
    </row>
    <row r="5" spans="1:9" x14ac:dyDescent="0.3">
      <c r="A5" s="3" t="s">
        <v>1089</v>
      </c>
      <c r="B5" s="9">
        <f>_xlfn.XLOOKUP(A5,tbl_Demand_Analysis[Product_ID],tbl_Demand_Analysis[Avg_Daily_Demand])</f>
        <v>60.666666666666664</v>
      </c>
      <c r="C5" s="1" cm="1">
        <f t="array" ref="C5">_xlfn.XLOOKUP(A5,tbl_Demand_Analysis[Product_ID], tbl_Products[Lead_Time_(Days)])</f>
        <v>2</v>
      </c>
      <c r="D5" s="9">
        <f>(_xlfn.XLOOKUP(A5, tbl_Demand_Analysis[Product_ID], tbl_Demand_Analysis[Max_Daily_Demand]) - B5) * C5</f>
        <v>74.666666666666671</v>
      </c>
      <c r="E5" s="1">
        <f t="shared" si="1"/>
        <v>196</v>
      </c>
      <c r="F5" s="1">
        <f>_xlfn.XLOOKUP(A5,tbl_Inventory_Status[Product_ID], tbl_Inventory_Status[Current_Stock])</f>
        <v>673</v>
      </c>
      <c r="G5" s="9">
        <f>SQRT((2*(B5*365)*_xlfn.XLOOKUP(A5,tbl_Products[Product_ID],tbl_Products[Order_Cost_per_Unit]))/(_xlfn.XLOOKUP(A5,tbl_Products[Product_ID], tbl_Products[Holding_Cost_per_Unit(Monthly)])*12))</f>
        <v>723.56335427423267</v>
      </c>
      <c r="H5" s="20" t="str">
        <f t="shared" si="0"/>
        <v>SUFFICIENT_STOCK</v>
      </c>
      <c r="I5" s="43">
        <f>IF(tbl_Reorder_Optimization[[#This Row],[Action]]="Sufficient_stock",0,1)</f>
        <v>0</v>
      </c>
    </row>
    <row r="6" spans="1:9" x14ac:dyDescent="0.3">
      <c r="A6" s="3" t="s">
        <v>1090</v>
      </c>
      <c r="B6" s="9">
        <f>_xlfn.XLOOKUP(A6,tbl_Demand_Analysis[Product_ID],tbl_Demand_Analysis[Avg_Daily_Demand])</f>
        <v>57.75</v>
      </c>
      <c r="C6" s="1" cm="1">
        <f t="array" ref="C6">_xlfn.XLOOKUP(A6,tbl_Demand_Analysis[Product_ID], tbl_Products[Lead_Time_(Days)])</f>
        <v>4</v>
      </c>
      <c r="D6" s="9">
        <f>(_xlfn.XLOOKUP(A6, tbl_Demand_Analysis[Product_ID], tbl_Demand_Analysis[Max_Daily_Demand]) - B6) * C6</f>
        <v>145</v>
      </c>
      <c r="E6" s="1">
        <f t="shared" si="1"/>
        <v>376</v>
      </c>
      <c r="F6" s="1">
        <f>_xlfn.XLOOKUP(A6,tbl_Inventory_Status[Product_ID], tbl_Inventory_Status[Current_Stock])</f>
        <v>105</v>
      </c>
      <c r="G6" s="9">
        <f>SQRT((2*(B6*365)*_xlfn.XLOOKUP(A6,tbl_Products[Product_ID],tbl_Products[Order_Cost_per_Unit]))/(_xlfn.XLOOKUP(A6,tbl_Products[Product_ID], tbl_Products[Holding_Cost_per_Unit(Monthly)])*12))</f>
        <v>1007.4238322462784</v>
      </c>
      <c r="H6" s="20" t="str">
        <f t="shared" si="0"/>
        <v>REORDER</v>
      </c>
      <c r="I6" s="43">
        <f>IF(tbl_Reorder_Optimization[[#This Row],[Action]]="Sufficient_stock",0,1)</f>
        <v>1</v>
      </c>
    </row>
    <row r="7" spans="1:9" x14ac:dyDescent="0.3">
      <c r="A7" s="3" t="s">
        <v>1091</v>
      </c>
      <c r="B7" s="9">
        <f>_xlfn.XLOOKUP(A7,tbl_Demand_Analysis[Product_ID],tbl_Demand_Analysis[Avg_Daily_Demand])</f>
        <v>61.333333333333336</v>
      </c>
      <c r="C7" s="1" cm="1">
        <f t="array" ref="C7">_xlfn.XLOOKUP(A7,tbl_Demand_Analysis[Product_ID], tbl_Products[Lead_Time_(Days)])</f>
        <v>5</v>
      </c>
      <c r="D7" s="9">
        <f>(_xlfn.XLOOKUP(A7, tbl_Demand_Analysis[Product_ID], tbl_Demand_Analysis[Max_Daily_Demand]) - B7) * C7</f>
        <v>193.33333333333331</v>
      </c>
      <c r="E7" s="1">
        <f t="shared" si="1"/>
        <v>500</v>
      </c>
      <c r="F7" s="1">
        <f>_xlfn.XLOOKUP(A7,tbl_Inventory_Status[Product_ID], tbl_Inventory_Status[Current_Stock])</f>
        <v>0</v>
      </c>
      <c r="G7" s="9">
        <f>SQRT((2*(B7*365)*_xlfn.XLOOKUP(A7,tbl_Products[Product_ID],tbl_Products[Order_Cost_per_Unit]))/(_xlfn.XLOOKUP(A7,tbl_Products[Product_ID], tbl_Products[Holding_Cost_per_Unit(Monthly)])*12))</f>
        <v>699.7916356554523</v>
      </c>
      <c r="H7" s="20" t="str">
        <f t="shared" si="0"/>
        <v>REORDER</v>
      </c>
      <c r="I7" s="43">
        <f>IF(tbl_Reorder_Optimization[[#This Row],[Action]]="Sufficient_stock",0,1)</f>
        <v>1</v>
      </c>
    </row>
    <row r="8" spans="1:9" x14ac:dyDescent="0.3">
      <c r="A8" s="3" t="s">
        <v>1093</v>
      </c>
      <c r="B8" s="9">
        <f>_xlfn.XLOOKUP(A8,tbl_Demand_Analysis[Product_ID],tbl_Demand_Analysis[Avg_Daily_Demand])</f>
        <v>22.5</v>
      </c>
      <c r="C8" s="1" cm="1">
        <f t="array" ref="C8">_xlfn.XLOOKUP(A8,tbl_Demand_Analysis[Product_ID], tbl_Products[Lead_Time_(Days)])</f>
        <v>9</v>
      </c>
      <c r="D8" s="9">
        <f>(_xlfn.XLOOKUP(A8, tbl_Demand_Analysis[Product_ID], tbl_Demand_Analysis[Max_Daily_Demand]) - B8) * C8</f>
        <v>103.5</v>
      </c>
      <c r="E8" s="1">
        <f t="shared" si="1"/>
        <v>306</v>
      </c>
      <c r="F8" s="1">
        <f>_xlfn.XLOOKUP(A8,tbl_Inventory_Status[Product_ID], tbl_Inventory_Status[Current_Stock])</f>
        <v>714</v>
      </c>
      <c r="G8" s="9">
        <f>SQRT((2*(B8*365)*_xlfn.XLOOKUP(A8,tbl_Products[Product_ID],tbl_Products[Order_Cost_per_Unit]))/(_xlfn.XLOOKUP(A8,tbl_Products[Product_ID], tbl_Products[Holding_Cost_per_Unit(Monthly)])*12))</f>
        <v>430.52475248236311</v>
      </c>
      <c r="H8" s="20" t="str">
        <f t="shared" si="0"/>
        <v>SUFFICIENT_STOCK</v>
      </c>
      <c r="I8" s="43">
        <f>IF(tbl_Reorder_Optimization[[#This Row],[Action]]="Sufficient_stock",0,1)</f>
        <v>0</v>
      </c>
    </row>
    <row r="9" spans="1:9" x14ac:dyDescent="0.3">
      <c r="A9" s="3" t="s">
        <v>1095</v>
      </c>
      <c r="B9" s="9">
        <f>_xlfn.XLOOKUP(A9,tbl_Demand_Analysis[Product_ID],tbl_Demand_Analysis[Avg_Daily_Demand])</f>
        <v>48.666666666666664</v>
      </c>
      <c r="C9" s="1" cm="1">
        <f t="array" ref="C9">_xlfn.XLOOKUP(A9,tbl_Demand_Analysis[Product_ID], tbl_Products[Lead_Time_(Days)])</f>
        <v>6</v>
      </c>
      <c r="D9" s="9">
        <f>(_xlfn.XLOOKUP(A9, tbl_Demand_Analysis[Product_ID], tbl_Demand_Analysis[Max_Daily_Demand]) - B9) * C9</f>
        <v>266</v>
      </c>
      <c r="E9" s="1">
        <f t="shared" si="1"/>
        <v>558</v>
      </c>
      <c r="F9" s="1">
        <f>_xlfn.XLOOKUP(A9,tbl_Inventory_Status[Product_ID], tbl_Inventory_Status[Current_Stock])</f>
        <v>314</v>
      </c>
      <c r="G9" s="9">
        <f>SQRT((2*(B9*365)*_xlfn.XLOOKUP(A9,tbl_Products[Product_ID],tbl_Products[Order_Cost_per_Unit]))/(_xlfn.XLOOKUP(A9,tbl_Products[Product_ID], tbl_Products[Holding_Cost_per_Unit(Monthly)])*12))</f>
        <v>213.41745136471044</v>
      </c>
      <c r="H9" s="20" t="str">
        <f t="shared" si="0"/>
        <v>REORDER</v>
      </c>
      <c r="I9" s="43">
        <f>IF(tbl_Reorder_Optimization[[#This Row],[Action]]="Sufficient_stock",0,1)</f>
        <v>1</v>
      </c>
    </row>
    <row r="10" spans="1:9" x14ac:dyDescent="0.3">
      <c r="A10" s="3" t="s">
        <v>1097</v>
      </c>
      <c r="B10" s="9">
        <f>_xlfn.XLOOKUP(A10,tbl_Demand_Analysis[Product_ID],tbl_Demand_Analysis[Avg_Daily_Demand])</f>
        <v>81.333333333333329</v>
      </c>
      <c r="C10" s="1" cm="1">
        <f t="array" ref="C10">_xlfn.XLOOKUP(A10,tbl_Demand_Analysis[Product_ID], tbl_Products[Lead_Time_(Days)])</f>
        <v>3</v>
      </c>
      <c r="D10" s="9">
        <f>(_xlfn.XLOOKUP(A10, tbl_Demand_Analysis[Product_ID], tbl_Demand_Analysis[Max_Daily_Demand]) - B10) * C10</f>
        <v>11.000000000000014</v>
      </c>
      <c r="E10" s="1">
        <f t="shared" si="1"/>
        <v>255</v>
      </c>
      <c r="F10" s="1">
        <f>_xlfn.XLOOKUP(A10,tbl_Inventory_Status[Product_ID], tbl_Inventory_Status[Current_Stock])</f>
        <v>567</v>
      </c>
      <c r="G10" s="9">
        <f>SQRT((2*(B10*365)*_xlfn.XLOOKUP(A10,tbl_Products[Product_ID],tbl_Products[Order_Cost_per_Unit]))/(_xlfn.XLOOKUP(A10,tbl_Products[Product_ID], tbl_Products[Holding_Cost_per_Unit(Monthly)])*12))</f>
        <v>422.04265187300678</v>
      </c>
      <c r="H10" s="20" t="str">
        <f t="shared" si="0"/>
        <v>SUFFICIENT_STOCK</v>
      </c>
      <c r="I10" s="43">
        <f>IF(tbl_Reorder_Optimization[[#This Row],[Action]]="Sufficient_stock",0,1)</f>
        <v>0</v>
      </c>
    </row>
    <row r="11" spans="1:9" x14ac:dyDescent="0.3">
      <c r="A11" s="3" t="s">
        <v>1099</v>
      </c>
      <c r="B11" s="9">
        <f>_xlfn.XLOOKUP(A11,tbl_Demand_Analysis[Product_ID],tbl_Demand_Analysis[Avg_Daily_Demand])</f>
        <v>51.428571428571431</v>
      </c>
      <c r="C11" s="1" cm="1">
        <f t="array" ref="C11">_xlfn.XLOOKUP(A11,tbl_Demand_Analysis[Product_ID], tbl_Products[Lead_Time_(Days)])</f>
        <v>2</v>
      </c>
      <c r="D11" s="9">
        <f>(_xlfn.XLOOKUP(A11, tbl_Demand_Analysis[Product_ID], tbl_Demand_Analysis[Max_Daily_Demand]) - B11) * C11</f>
        <v>55.142857142857139</v>
      </c>
      <c r="E11" s="1">
        <f t="shared" si="1"/>
        <v>158</v>
      </c>
      <c r="F11" s="1">
        <f>_xlfn.XLOOKUP(A11,tbl_Inventory_Status[Product_ID], tbl_Inventory_Status[Current_Stock])</f>
        <v>206</v>
      </c>
      <c r="G11" s="9">
        <f>SQRT((2*(B11*365)*_xlfn.XLOOKUP(A11,tbl_Products[Product_ID],tbl_Products[Order_Cost_per_Unit]))/(_xlfn.XLOOKUP(A11,tbl_Products[Product_ID], tbl_Products[Holding_Cost_per_Unit(Monthly)])*12))</f>
        <v>477.62432936356998</v>
      </c>
      <c r="H11" s="20" t="str">
        <f t="shared" si="0"/>
        <v>SUFFICIENT_STOCK</v>
      </c>
      <c r="I11" s="43">
        <f>IF(tbl_Reorder_Optimization[[#This Row],[Action]]="Sufficient_stock",0,1)</f>
        <v>0</v>
      </c>
    </row>
    <row r="12" spans="1:9" x14ac:dyDescent="0.3">
      <c r="A12" s="3" t="s">
        <v>1101</v>
      </c>
      <c r="B12" s="9">
        <f>_xlfn.XLOOKUP(A12,tbl_Demand_Analysis[Product_ID],tbl_Demand_Analysis[Avg_Daily_Demand])</f>
        <v>41.5</v>
      </c>
      <c r="C12" s="1" cm="1">
        <f t="array" ref="C12">_xlfn.XLOOKUP(A12,tbl_Demand_Analysis[Product_ID], tbl_Products[Lead_Time_(Days)])</f>
        <v>5</v>
      </c>
      <c r="D12" s="9">
        <f>(_xlfn.XLOOKUP(A12, tbl_Demand_Analysis[Product_ID], tbl_Demand_Analysis[Max_Daily_Demand]) - B12) * C12</f>
        <v>282.5</v>
      </c>
      <c r="E12" s="1">
        <f t="shared" si="1"/>
        <v>490</v>
      </c>
      <c r="F12" s="1">
        <f>_xlfn.XLOOKUP(A12,tbl_Inventory_Status[Product_ID], tbl_Inventory_Status[Current_Stock])</f>
        <v>311</v>
      </c>
      <c r="G12" s="9">
        <f>SQRT((2*(B12*365)*_xlfn.XLOOKUP(A12,tbl_Products[Product_ID],tbl_Products[Order_Cost_per_Unit]))/(_xlfn.XLOOKUP(A12,tbl_Products[Product_ID], tbl_Products[Holding_Cost_per_Unit(Monthly)])*12))</f>
        <v>412.54894159782202</v>
      </c>
      <c r="H12" s="20" t="str">
        <f t="shared" si="0"/>
        <v>REORDER</v>
      </c>
      <c r="I12" s="43">
        <f>IF(tbl_Reorder_Optimization[[#This Row],[Action]]="Sufficient_stock",0,1)</f>
        <v>1</v>
      </c>
    </row>
    <row r="13" spans="1:9" x14ac:dyDescent="0.3">
      <c r="A13" s="3" t="s">
        <v>1102</v>
      </c>
      <c r="B13" s="9">
        <f>_xlfn.XLOOKUP(A13,tbl_Demand_Analysis[Product_ID],tbl_Demand_Analysis[Avg_Daily_Demand])</f>
        <v>47.6</v>
      </c>
      <c r="C13" s="1" cm="1">
        <f t="array" ref="C13">_xlfn.XLOOKUP(A13,tbl_Demand_Analysis[Product_ID], tbl_Products[Lead_Time_(Days)])</f>
        <v>10</v>
      </c>
      <c r="D13" s="9">
        <f>(_xlfn.XLOOKUP(A13, tbl_Demand_Analysis[Product_ID], tbl_Demand_Analysis[Max_Daily_Demand]) - B13) * C13</f>
        <v>474</v>
      </c>
      <c r="E13" s="1">
        <f t="shared" si="1"/>
        <v>950</v>
      </c>
      <c r="F13" s="1">
        <f>_xlfn.XLOOKUP(A13,tbl_Inventory_Status[Product_ID], tbl_Inventory_Status[Current_Stock])</f>
        <v>0</v>
      </c>
      <c r="G13" s="9">
        <f>SQRT((2*(B13*365)*_xlfn.XLOOKUP(A13,tbl_Products[Product_ID],tbl_Products[Order_Cost_per_Unit]))/(_xlfn.XLOOKUP(A13,tbl_Products[Product_ID], tbl_Products[Holding_Cost_per_Unit(Monthly)])*12))</f>
        <v>312.0703324199236</v>
      </c>
      <c r="H13" s="20" t="str">
        <f t="shared" si="0"/>
        <v>REORDER</v>
      </c>
      <c r="I13" s="43">
        <f>IF(tbl_Reorder_Optimization[[#This Row],[Action]]="Sufficient_stock",0,1)</f>
        <v>1</v>
      </c>
    </row>
    <row r="14" spans="1:9" x14ac:dyDescent="0.3">
      <c r="A14" s="3" t="s">
        <v>1104</v>
      </c>
      <c r="B14" s="9">
        <f>_xlfn.XLOOKUP(A14,tbl_Demand_Analysis[Product_ID],tbl_Demand_Analysis[Avg_Daily_Demand])</f>
        <v>37</v>
      </c>
      <c r="C14" s="1" cm="1">
        <f t="array" ref="C14">_xlfn.XLOOKUP(A14,tbl_Demand_Analysis[Product_ID], tbl_Products[Lead_Time_(Days)])</f>
        <v>4</v>
      </c>
      <c r="D14" s="9">
        <f>(_xlfn.XLOOKUP(A14, tbl_Demand_Analysis[Product_ID], tbl_Demand_Analysis[Max_Daily_Demand]) - B14) * C14</f>
        <v>92</v>
      </c>
      <c r="E14" s="1">
        <f t="shared" si="1"/>
        <v>240</v>
      </c>
      <c r="F14" s="1">
        <f>_xlfn.XLOOKUP(A14,tbl_Inventory_Status[Product_ID], tbl_Inventory_Status[Current_Stock])</f>
        <v>394</v>
      </c>
      <c r="G14" s="9">
        <f>SQRT((2*(B14*365)*_xlfn.XLOOKUP(A14,tbl_Products[Product_ID],tbl_Products[Order_Cost_per_Unit]))/(_xlfn.XLOOKUP(A14,tbl_Products[Product_ID], tbl_Products[Holding_Cost_per_Unit(Monthly)])*12))</f>
        <v>530.42828607330762</v>
      </c>
      <c r="H14" s="20" t="str">
        <f t="shared" si="0"/>
        <v>SUFFICIENT_STOCK</v>
      </c>
      <c r="I14" s="43">
        <f>IF(tbl_Reorder_Optimization[[#This Row],[Action]]="Sufficient_stock",0,1)</f>
        <v>0</v>
      </c>
    </row>
    <row r="15" spans="1:9" x14ac:dyDescent="0.3">
      <c r="A15" s="3" t="s">
        <v>1106</v>
      </c>
      <c r="B15" s="9">
        <f>_xlfn.XLOOKUP(A15,tbl_Demand_Analysis[Product_ID],tbl_Demand_Analysis[Avg_Daily_Demand])</f>
        <v>51.666666666666664</v>
      </c>
      <c r="C15" s="1" cm="1">
        <f t="array" ref="C15">_xlfn.XLOOKUP(A15,tbl_Demand_Analysis[Product_ID], tbl_Products[Lead_Time_(Days)])</f>
        <v>3</v>
      </c>
      <c r="D15" s="9">
        <f>(_xlfn.XLOOKUP(A15, tbl_Demand_Analysis[Product_ID], tbl_Demand_Analysis[Max_Daily_Demand]) - B15) * C15</f>
        <v>58.000000000000007</v>
      </c>
      <c r="E15" s="1">
        <f t="shared" si="1"/>
        <v>213</v>
      </c>
      <c r="F15" s="1">
        <f>_xlfn.XLOOKUP(A15,tbl_Inventory_Status[Product_ID], tbl_Inventory_Status[Current_Stock])</f>
        <v>144</v>
      </c>
      <c r="G15" s="9">
        <f>SQRT((2*(B15*365)*_xlfn.XLOOKUP(A15,tbl_Products[Product_ID],tbl_Products[Order_Cost_per_Unit]))/(_xlfn.XLOOKUP(A15,tbl_Products[Product_ID], tbl_Products[Holding_Cost_per_Unit(Monthly)])*12))</f>
        <v>599.33825942146325</v>
      </c>
      <c r="H15" s="20" t="str">
        <f t="shared" si="0"/>
        <v>REORDER</v>
      </c>
      <c r="I15" s="43">
        <f>IF(tbl_Reorder_Optimization[[#This Row],[Action]]="Sufficient_stock",0,1)</f>
        <v>1</v>
      </c>
    </row>
    <row r="16" spans="1:9" x14ac:dyDescent="0.3">
      <c r="A16" s="3" t="s">
        <v>1108</v>
      </c>
      <c r="B16" s="9">
        <f>_xlfn.XLOOKUP(A16,tbl_Demand_Analysis[Product_ID],tbl_Demand_Analysis[Avg_Daily_Demand])</f>
        <v>36.666666666666664</v>
      </c>
      <c r="C16" s="1" cm="1">
        <f t="array" ref="C16">_xlfn.XLOOKUP(A16,tbl_Demand_Analysis[Product_ID], tbl_Products[Lead_Time_(Days)])</f>
        <v>6</v>
      </c>
      <c r="D16" s="9">
        <f>(_xlfn.XLOOKUP(A16, tbl_Demand_Analysis[Product_ID], tbl_Demand_Analysis[Max_Daily_Demand]) - B16) * C16</f>
        <v>188</v>
      </c>
      <c r="E16" s="1">
        <f t="shared" si="1"/>
        <v>408</v>
      </c>
      <c r="F16" s="1">
        <f>_xlfn.XLOOKUP(A16,tbl_Inventory_Status[Product_ID], tbl_Inventory_Status[Current_Stock])</f>
        <v>967</v>
      </c>
      <c r="G16" s="9">
        <f>SQRT((2*(B16*365)*_xlfn.XLOOKUP(A16,tbl_Products[Product_ID],tbl_Products[Order_Cost_per_Unit]))/(_xlfn.XLOOKUP(A16,tbl_Products[Product_ID], tbl_Products[Holding_Cost_per_Unit(Monthly)])*12))</f>
        <v>691.35822152932451</v>
      </c>
      <c r="H16" s="20" t="str">
        <f t="shared" si="0"/>
        <v>SUFFICIENT_STOCK</v>
      </c>
      <c r="I16" s="43">
        <f>IF(tbl_Reorder_Optimization[[#This Row],[Action]]="Sufficient_stock",0,1)</f>
        <v>0</v>
      </c>
    </row>
    <row r="17" spans="1:9" x14ac:dyDescent="0.3">
      <c r="A17" s="3" t="s">
        <v>1109</v>
      </c>
      <c r="B17" s="9">
        <f>_xlfn.XLOOKUP(A17,tbl_Demand_Analysis[Product_ID],tbl_Demand_Analysis[Avg_Daily_Demand])</f>
        <v>39</v>
      </c>
      <c r="C17" s="1" cm="1">
        <f t="array" ref="C17">_xlfn.XLOOKUP(A17,tbl_Demand_Analysis[Product_ID], tbl_Products[Lead_Time_(Days)])</f>
        <v>7</v>
      </c>
      <c r="D17" s="9">
        <f>(_xlfn.XLOOKUP(A17, tbl_Demand_Analysis[Product_ID], tbl_Demand_Analysis[Max_Daily_Demand]) - B17) * C17</f>
        <v>14</v>
      </c>
      <c r="E17" s="1">
        <f t="shared" si="1"/>
        <v>287</v>
      </c>
      <c r="F17" s="1">
        <f>_xlfn.XLOOKUP(A17,tbl_Inventory_Status[Product_ID], tbl_Inventory_Status[Current_Stock])</f>
        <v>369</v>
      </c>
      <c r="G17" s="9">
        <f>SQRT((2*(B17*365)*_xlfn.XLOOKUP(A17,tbl_Products[Product_ID],tbl_Products[Order_Cost_per_Unit]))/(_xlfn.XLOOKUP(A17,tbl_Products[Product_ID], tbl_Products[Holding_Cost_per_Unit(Monthly)])*12))</f>
        <v>585.99330874570296</v>
      </c>
      <c r="H17" s="20" t="str">
        <f t="shared" si="0"/>
        <v>SUFFICIENT_STOCK</v>
      </c>
      <c r="I17" s="43">
        <f>IF(tbl_Reorder_Optimization[[#This Row],[Action]]="Sufficient_stock",0,1)</f>
        <v>0</v>
      </c>
    </row>
    <row r="18" spans="1:9" x14ac:dyDescent="0.3">
      <c r="A18" s="3" t="s">
        <v>1110</v>
      </c>
      <c r="B18" s="9">
        <f>_xlfn.XLOOKUP(A18,tbl_Demand_Analysis[Product_ID],tbl_Demand_Analysis[Avg_Daily_Demand])</f>
        <v>49</v>
      </c>
      <c r="C18" s="1" cm="1">
        <f t="array" ref="C18">_xlfn.XLOOKUP(A18,tbl_Demand_Analysis[Product_ID], tbl_Products[Lead_Time_(Days)])</f>
        <v>4</v>
      </c>
      <c r="D18" s="9">
        <f>(_xlfn.XLOOKUP(A18, tbl_Demand_Analysis[Product_ID], tbl_Demand_Analysis[Max_Daily_Demand]) - B18) * C18</f>
        <v>108</v>
      </c>
      <c r="E18" s="1">
        <f t="shared" si="1"/>
        <v>304</v>
      </c>
      <c r="F18" s="1">
        <f>_xlfn.XLOOKUP(A18,tbl_Inventory_Status[Product_ID], tbl_Inventory_Status[Current_Stock])</f>
        <v>604</v>
      </c>
      <c r="G18" s="9">
        <f>SQRT((2*(B18*365)*_xlfn.XLOOKUP(A18,tbl_Products[Product_ID],tbl_Products[Order_Cost_per_Unit]))/(_xlfn.XLOOKUP(A18,tbl_Products[Product_ID], tbl_Products[Holding_Cost_per_Unit(Monthly)])*12))</f>
        <v>478.84744104450613</v>
      </c>
      <c r="H18" s="20" t="str">
        <f t="shared" si="0"/>
        <v>SUFFICIENT_STOCK</v>
      </c>
      <c r="I18" s="43">
        <f>IF(tbl_Reorder_Optimization[[#This Row],[Action]]="Sufficient_stock",0,1)</f>
        <v>0</v>
      </c>
    </row>
    <row r="19" spans="1:9" x14ac:dyDescent="0.3">
      <c r="A19" s="3" t="s">
        <v>1111</v>
      </c>
      <c r="B19" s="9">
        <f>_xlfn.XLOOKUP(A19,tbl_Demand_Analysis[Product_ID],tbl_Demand_Analysis[Avg_Daily_Demand])</f>
        <v>78.333333333333329</v>
      </c>
      <c r="C19" s="1" cm="1">
        <f t="array" ref="C19">_xlfn.XLOOKUP(A19,tbl_Demand_Analysis[Product_ID], tbl_Products[Lead_Time_(Days)])</f>
        <v>3</v>
      </c>
      <c r="D19" s="9">
        <f>(_xlfn.XLOOKUP(A19, tbl_Demand_Analysis[Product_ID], tbl_Demand_Analysis[Max_Daily_Demand]) - B19) * C19</f>
        <v>62.000000000000014</v>
      </c>
      <c r="E19" s="1">
        <f t="shared" si="1"/>
        <v>297</v>
      </c>
      <c r="F19" s="1">
        <f>_xlfn.XLOOKUP(A19,tbl_Inventory_Status[Product_ID], tbl_Inventory_Status[Current_Stock])</f>
        <v>107</v>
      </c>
      <c r="G19" s="9">
        <f>SQRT((2*(B19*365)*_xlfn.XLOOKUP(A19,tbl_Products[Product_ID],tbl_Products[Order_Cost_per_Unit]))/(_xlfn.XLOOKUP(A19,tbl_Products[Product_ID], tbl_Products[Holding_Cost_per_Unit(Monthly)])*12))</f>
        <v>498.62128755779884</v>
      </c>
      <c r="H19" s="20" t="str">
        <f t="shared" si="0"/>
        <v>REORDER</v>
      </c>
      <c r="I19" s="43">
        <f>IF(tbl_Reorder_Optimization[[#This Row],[Action]]="Sufficient_stock",0,1)</f>
        <v>1</v>
      </c>
    </row>
    <row r="20" spans="1:9" x14ac:dyDescent="0.3">
      <c r="A20" s="3" t="s">
        <v>1112</v>
      </c>
      <c r="B20" s="9">
        <f>_xlfn.XLOOKUP(A20,tbl_Demand_Analysis[Product_ID],tbl_Demand_Analysis[Avg_Daily_Demand])</f>
        <v>63.285714285714285</v>
      </c>
      <c r="C20" s="1" cm="1">
        <f t="array" ref="C20">_xlfn.XLOOKUP(A20,tbl_Demand_Analysis[Product_ID], tbl_Products[Lead_Time_(Days)])</f>
        <v>5</v>
      </c>
      <c r="D20" s="9">
        <f>(_xlfn.XLOOKUP(A20, tbl_Demand_Analysis[Product_ID], tbl_Demand_Analysis[Max_Daily_Demand]) - B20) * C20</f>
        <v>93.571428571428584</v>
      </c>
      <c r="E20" s="1">
        <f t="shared" si="1"/>
        <v>410</v>
      </c>
      <c r="F20" s="1">
        <f>_xlfn.XLOOKUP(A20,tbl_Inventory_Status[Product_ID], tbl_Inventory_Status[Current_Stock])</f>
        <v>451</v>
      </c>
      <c r="G20" s="9">
        <f>SQRT((2*(B20*365)*_xlfn.XLOOKUP(A20,tbl_Products[Product_ID],tbl_Products[Order_Cost_per_Unit]))/(_xlfn.XLOOKUP(A20,tbl_Products[Product_ID], tbl_Products[Holding_Cost_per_Unit(Monthly)])*12))</f>
        <v>722.83043899479969</v>
      </c>
      <c r="H20" s="20" t="str">
        <f t="shared" si="0"/>
        <v>SUFFICIENT_STOCK</v>
      </c>
      <c r="I20" s="43">
        <f>IF(tbl_Reorder_Optimization[[#This Row],[Action]]="Sufficient_stock",0,1)</f>
        <v>0</v>
      </c>
    </row>
    <row r="21" spans="1:9" x14ac:dyDescent="0.3">
      <c r="A21" s="3" t="s">
        <v>1113</v>
      </c>
      <c r="B21" s="9">
        <f>_xlfn.XLOOKUP(A21,tbl_Demand_Analysis[Product_ID],tbl_Demand_Analysis[Avg_Daily_Demand])</f>
        <v>51.25</v>
      </c>
      <c r="C21" s="1" cm="1">
        <f t="array" ref="C21">_xlfn.XLOOKUP(A21,tbl_Demand_Analysis[Product_ID], tbl_Products[Lead_Time_(Days)])</f>
        <v>8</v>
      </c>
      <c r="D21" s="9">
        <f>(_xlfn.XLOOKUP(A21, tbl_Demand_Analysis[Product_ID], tbl_Demand_Analysis[Max_Daily_Demand]) - B21) * C21</f>
        <v>198</v>
      </c>
      <c r="E21" s="1">
        <f t="shared" si="1"/>
        <v>608</v>
      </c>
      <c r="F21" s="1">
        <f>_xlfn.XLOOKUP(A21,tbl_Inventory_Status[Product_ID], tbl_Inventory_Status[Current_Stock])</f>
        <v>296</v>
      </c>
      <c r="G21" s="9">
        <f>SQRT((2*(B21*365)*_xlfn.XLOOKUP(A21,tbl_Products[Product_ID],tbl_Products[Order_Cost_per_Unit]))/(_xlfn.XLOOKUP(A21,tbl_Products[Product_ID], tbl_Products[Holding_Cost_per_Unit(Monthly)])*12))</f>
        <v>598.29683681118649</v>
      </c>
      <c r="H21" s="20" t="str">
        <f t="shared" si="0"/>
        <v>REORDER</v>
      </c>
      <c r="I21" s="43">
        <f>IF(tbl_Reorder_Optimization[[#This Row],[Action]]="Sufficient_stock",0,1)</f>
        <v>1</v>
      </c>
    </row>
    <row r="22" spans="1:9" x14ac:dyDescent="0.3">
      <c r="A22" s="3" t="s">
        <v>1115</v>
      </c>
      <c r="B22" s="9">
        <f>_xlfn.XLOOKUP(A22,tbl_Demand_Analysis[Product_ID],tbl_Demand_Analysis[Avg_Daily_Demand])</f>
        <v>35.5</v>
      </c>
      <c r="C22" s="1" cm="1">
        <f t="array" ref="C22">_xlfn.XLOOKUP(A22,tbl_Demand_Analysis[Product_ID], tbl_Products[Lead_Time_(Days)])</f>
        <v>7</v>
      </c>
      <c r="D22" s="9">
        <f>(_xlfn.XLOOKUP(A22, tbl_Demand_Analysis[Product_ID], tbl_Demand_Analysis[Max_Daily_Demand]) - B22) * C22</f>
        <v>31.5</v>
      </c>
      <c r="E22" s="1">
        <f t="shared" si="1"/>
        <v>280</v>
      </c>
      <c r="F22" s="1">
        <f>_xlfn.XLOOKUP(A22,tbl_Inventory_Status[Product_ID], tbl_Inventory_Status[Current_Stock])</f>
        <v>354</v>
      </c>
      <c r="G22" s="9">
        <f>SQRT((2*(B22*365)*_xlfn.XLOOKUP(A22,tbl_Products[Product_ID],tbl_Products[Order_Cost_per_Unit]))/(_xlfn.XLOOKUP(A22,tbl_Products[Product_ID], tbl_Products[Holding_Cost_per_Unit(Monthly)])*12))</f>
        <v>311.29468408869485</v>
      </c>
      <c r="H22" s="20" t="str">
        <f t="shared" si="0"/>
        <v>SUFFICIENT_STOCK</v>
      </c>
      <c r="I22" s="43">
        <f>IF(tbl_Reorder_Optimization[[#This Row],[Action]]="Sufficient_stock",0,1)</f>
        <v>0</v>
      </c>
    </row>
    <row r="23" spans="1:9" x14ac:dyDescent="0.3">
      <c r="A23" s="3" t="s">
        <v>1117</v>
      </c>
      <c r="B23" s="9">
        <f>_xlfn.XLOOKUP(A23,tbl_Demand_Analysis[Product_ID],tbl_Demand_Analysis[Avg_Daily_Demand])</f>
        <v>62.666666666666664</v>
      </c>
      <c r="C23" s="1" cm="1">
        <f t="array" ref="C23">_xlfn.XLOOKUP(A23,tbl_Demand_Analysis[Product_ID], tbl_Products[Lead_Time_(Days)])</f>
        <v>9</v>
      </c>
      <c r="D23" s="9">
        <f>(_xlfn.XLOOKUP(A23, tbl_Demand_Analysis[Product_ID], tbl_Demand_Analysis[Max_Daily_Demand]) - B23) * C23</f>
        <v>318</v>
      </c>
      <c r="E23" s="1">
        <f t="shared" si="1"/>
        <v>882</v>
      </c>
      <c r="F23" s="1">
        <f>_xlfn.XLOOKUP(A23,tbl_Inventory_Status[Product_ID], tbl_Inventory_Status[Current_Stock])</f>
        <v>403</v>
      </c>
      <c r="G23" s="9">
        <f>SQRT((2*(B23*365)*_xlfn.XLOOKUP(A23,tbl_Products[Product_ID],tbl_Products[Order_Cost_per_Unit]))/(_xlfn.XLOOKUP(A23,tbl_Products[Product_ID], tbl_Products[Holding_Cost_per_Unit(Monthly)])*12))</f>
        <v>375.34846933210167</v>
      </c>
      <c r="H23" s="20" t="str">
        <f t="shared" si="0"/>
        <v>REORDER</v>
      </c>
      <c r="I23" s="43">
        <f>IF(tbl_Reorder_Optimization[[#This Row],[Action]]="Sufficient_stock",0,1)</f>
        <v>1</v>
      </c>
    </row>
    <row r="24" spans="1:9" x14ac:dyDescent="0.3">
      <c r="A24" s="3" t="s">
        <v>1120</v>
      </c>
      <c r="B24" s="9">
        <f>_xlfn.XLOOKUP(A24,tbl_Demand_Analysis[Product_ID],tbl_Demand_Analysis[Avg_Daily_Demand])</f>
        <v>72.166666666666671</v>
      </c>
      <c r="C24" s="1" cm="1">
        <f t="array" ref="C24">_xlfn.XLOOKUP(A24,tbl_Demand_Analysis[Product_ID], tbl_Products[Lead_Time_(Days)])</f>
        <v>4</v>
      </c>
      <c r="D24" s="9">
        <f>(_xlfn.XLOOKUP(A24, tbl_Demand_Analysis[Product_ID], tbl_Demand_Analysis[Max_Daily_Demand]) - B24) * C24</f>
        <v>99.333333333333314</v>
      </c>
      <c r="E24" s="1">
        <f t="shared" si="1"/>
        <v>388</v>
      </c>
      <c r="F24" s="1">
        <f>_xlfn.XLOOKUP(A24,tbl_Inventory_Status[Product_ID], tbl_Inventory_Status[Current_Stock])</f>
        <v>697</v>
      </c>
      <c r="G24" s="9">
        <f>SQRT((2*(B24*365)*_xlfn.XLOOKUP(A24,tbl_Products[Product_ID],tbl_Products[Order_Cost_per_Unit]))/(_xlfn.XLOOKUP(A24,tbl_Products[Product_ID], tbl_Products[Holding_Cost_per_Unit(Monthly)])*12))</f>
        <v>578.34831415572785</v>
      </c>
      <c r="H24" s="20" t="str">
        <f t="shared" si="0"/>
        <v>SUFFICIENT_STOCK</v>
      </c>
      <c r="I24" s="43">
        <f>IF(tbl_Reorder_Optimization[[#This Row],[Action]]="Sufficient_stock",0,1)</f>
        <v>0</v>
      </c>
    </row>
    <row r="25" spans="1:9" x14ac:dyDescent="0.3">
      <c r="A25" s="3" t="s">
        <v>1122</v>
      </c>
      <c r="B25" s="9">
        <f>_xlfn.XLOOKUP(A25,tbl_Demand_Analysis[Product_ID],tbl_Demand_Analysis[Avg_Daily_Demand])</f>
        <v>41</v>
      </c>
      <c r="C25" s="1" cm="1">
        <f t="array" ref="C25">_xlfn.XLOOKUP(A25,tbl_Demand_Analysis[Product_ID], tbl_Products[Lead_Time_(Days)])</f>
        <v>3</v>
      </c>
      <c r="D25" s="9">
        <f>(_xlfn.XLOOKUP(A25, tbl_Demand_Analysis[Product_ID], tbl_Demand_Analysis[Max_Daily_Demand]) - B25) * C25</f>
        <v>165</v>
      </c>
      <c r="E25" s="1">
        <f t="shared" si="1"/>
        <v>288</v>
      </c>
      <c r="F25" s="1">
        <f>_xlfn.XLOOKUP(A25,tbl_Inventory_Status[Product_ID], tbl_Inventory_Status[Current_Stock])</f>
        <v>491</v>
      </c>
      <c r="G25" s="9">
        <f>SQRT((2*(B25*365)*_xlfn.XLOOKUP(A25,tbl_Products[Product_ID],tbl_Products[Order_Cost_per_Unit]))/(_xlfn.XLOOKUP(A25,tbl_Products[Product_ID], tbl_Products[Holding_Cost_per_Unit(Monthly)])*12))</f>
        <v>615.16281369757871</v>
      </c>
      <c r="H25" s="20" t="str">
        <f t="shared" si="0"/>
        <v>SUFFICIENT_STOCK</v>
      </c>
      <c r="I25" s="43">
        <f>IF(tbl_Reorder_Optimization[[#This Row],[Action]]="Sufficient_stock",0,1)</f>
        <v>0</v>
      </c>
    </row>
    <row r="26" spans="1:9" x14ac:dyDescent="0.3">
      <c r="A26" s="3" t="s">
        <v>1123</v>
      </c>
      <c r="B26" s="9">
        <f>_xlfn.XLOOKUP(A26,tbl_Demand_Analysis[Product_ID],tbl_Demand_Analysis[Avg_Daily_Demand])</f>
        <v>50.4</v>
      </c>
      <c r="C26" s="1" cm="1">
        <f t="array" ref="C26">_xlfn.XLOOKUP(A26,tbl_Demand_Analysis[Product_ID], tbl_Products[Lead_Time_(Days)])</f>
        <v>2</v>
      </c>
      <c r="D26" s="9">
        <f>(_xlfn.XLOOKUP(A26, tbl_Demand_Analysis[Product_ID], tbl_Demand_Analysis[Max_Daily_Demand]) - B26) * C26</f>
        <v>59.2</v>
      </c>
      <c r="E26" s="1">
        <f t="shared" si="1"/>
        <v>160</v>
      </c>
      <c r="F26" s="1">
        <f>_xlfn.XLOOKUP(A26,tbl_Inventory_Status[Product_ID], tbl_Inventory_Status[Current_Stock])</f>
        <v>425</v>
      </c>
      <c r="G26" s="9">
        <f>SQRT((2*(B26*365)*_xlfn.XLOOKUP(A26,tbl_Products[Product_ID],tbl_Products[Order_Cost_per_Unit]))/(_xlfn.XLOOKUP(A26,tbl_Products[Product_ID], tbl_Products[Holding_Cost_per_Unit(Monthly)])*12))</f>
        <v>559.11695083039854</v>
      </c>
      <c r="H26" s="20" t="str">
        <f t="shared" si="0"/>
        <v>SUFFICIENT_STOCK</v>
      </c>
      <c r="I26" s="43">
        <f>IF(tbl_Reorder_Optimization[[#This Row],[Action]]="Sufficient_stock",0,1)</f>
        <v>0</v>
      </c>
    </row>
    <row r="27" spans="1:9" x14ac:dyDescent="0.3">
      <c r="A27" s="3" t="s">
        <v>1126</v>
      </c>
      <c r="B27" s="9">
        <f>_xlfn.XLOOKUP(A27,tbl_Demand_Analysis[Product_ID],tbl_Demand_Analysis[Avg_Daily_Demand])</f>
        <v>63</v>
      </c>
      <c r="C27" s="1" cm="1">
        <f t="array" ref="C27">_xlfn.XLOOKUP(A27,tbl_Demand_Analysis[Product_ID], tbl_Products[Lead_Time_(Days)])</f>
        <v>8</v>
      </c>
      <c r="D27" s="9">
        <f>(_xlfn.XLOOKUP(A27, tbl_Demand_Analysis[Product_ID], tbl_Demand_Analysis[Max_Daily_Demand]) - B27) * C27</f>
        <v>176</v>
      </c>
      <c r="E27" s="1">
        <f t="shared" si="1"/>
        <v>680</v>
      </c>
      <c r="F27" s="1">
        <f>_xlfn.XLOOKUP(A27,tbl_Inventory_Status[Product_ID], tbl_Inventory_Status[Current_Stock])</f>
        <v>414</v>
      </c>
      <c r="G27" s="9">
        <f>SQRT((2*(B27*365)*_xlfn.XLOOKUP(A27,tbl_Products[Product_ID],tbl_Products[Order_Cost_per_Unit]))/(_xlfn.XLOOKUP(A27,tbl_Products[Product_ID], tbl_Products[Holding_Cost_per_Unit(Monthly)])*12))</f>
        <v>279.74137270359967</v>
      </c>
      <c r="H27" s="20" t="str">
        <f t="shared" si="0"/>
        <v>REORDER</v>
      </c>
      <c r="I27" s="43">
        <f>IF(tbl_Reorder_Optimization[[#This Row],[Action]]="Sufficient_stock",0,1)</f>
        <v>1</v>
      </c>
    </row>
    <row r="28" spans="1:9" x14ac:dyDescent="0.3">
      <c r="A28" s="3" t="s">
        <v>1129</v>
      </c>
      <c r="B28" s="9">
        <f>_xlfn.XLOOKUP(A28,tbl_Demand_Analysis[Product_ID],tbl_Demand_Analysis[Avg_Daily_Demand])</f>
        <v>50.833333333333336</v>
      </c>
      <c r="C28" s="1" cm="1">
        <f t="array" ref="C28">_xlfn.XLOOKUP(A28,tbl_Demand_Analysis[Product_ID], tbl_Products[Lead_Time_(Days)])</f>
        <v>5</v>
      </c>
      <c r="D28" s="9">
        <f>(_xlfn.XLOOKUP(A28, tbl_Demand_Analysis[Product_ID], tbl_Demand_Analysis[Max_Daily_Demand]) - B28) * C28</f>
        <v>205.83333333333331</v>
      </c>
      <c r="E28" s="1">
        <f t="shared" si="1"/>
        <v>460</v>
      </c>
      <c r="F28" s="1">
        <f>_xlfn.XLOOKUP(A28,tbl_Inventory_Status[Product_ID], tbl_Inventory_Status[Current_Stock])</f>
        <v>299</v>
      </c>
      <c r="G28" s="9">
        <f>SQRT((2*(B28*365)*_xlfn.XLOOKUP(A28,tbl_Products[Product_ID],tbl_Products[Order_Cost_per_Unit]))/(_xlfn.XLOOKUP(A28,tbl_Products[Product_ID], tbl_Products[Holding_Cost_per_Unit(Monthly)])*12))</f>
        <v>274.93826467539225</v>
      </c>
      <c r="H28" s="20" t="str">
        <f t="shared" si="0"/>
        <v>REORDER</v>
      </c>
      <c r="I28" s="43">
        <f>IF(tbl_Reorder_Optimization[[#This Row],[Action]]="Sufficient_stock",0,1)</f>
        <v>1</v>
      </c>
    </row>
    <row r="29" spans="1:9" x14ac:dyDescent="0.3">
      <c r="A29" s="3" t="s">
        <v>1130</v>
      </c>
      <c r="B29" s="9">
        <f>_xlfn.XLOOKUP(A29,tbl_Demand_Analysis[Product_ID],tbl_Demand_Analysis[Avg_Daily_Demand])</f>
        <v>36.5</v>
      </c>
      <c r="C29" s="1" cm="1">
        <f t="array" ref="C29">_xlfn.XLOOKUP(A29,tbl_Demand_Analysis[Product_ID], tbl_Products[Lead_Time_(Days)])</f>
        <v>1</v>
      </c>
      <c r="D29" s="9">
        <f>(_xlfn.XLOOKUP(A29, tbl_Demand_Analysis[Product_ID], tbl_Demand_Analysis[Max_Daily_Demand]) - B29) * C29</f>
        <v>1.5</v>
      </c>
      <c r="E29" s="1">
        <f t="shared" si="1"/>
        <v>38</v>
      </c>
      <c r="F29" s="1">
        <f>_xlfn.XLOOKUP(A29,tbl_Inventory_Status[Product_ID], tbl_Inventory_Status[Current_Stock])</f>
        <v>908</v>
      </c>
      <c r="G29" s="9">
        <f>SQRT((2*(B29*365)*_xlfn.XLOOKUP(A29,tbl_Products[Product_ID],tbl_Products[Order_Cost_per_Unit]))/(_xlfn.XLOOKUP(A29,tbl_Products[Product_ID], tbl_Products[Holding_Cost_per_Unit(Monthly)])*12))</f>
        <v>502.31471783890203</v>
      </c>
      <c r="H29" s="20" t="str">
        <f t="shared" si="0"/>
        <v>SUFFICIENT_STOCK</v>
      </c>
      <c r="I29" s="43">
        <f>IF(tbl_Reorder_Optimization[[#This Row],[Action]]="Sufficient_stock",0,1)</f>
        <v>0</v>
      </c>
    </row>
    <row r="30" spans="1:9" x14ac:dyDescent="0.3">
      <c r="A30" s="3" t="s">
        <v>1132</v>
      </c>
      <c r="B30" s="9">
        <f>_xlfn.XLOOKUP(A30,tbl_Demand_Analysis[Product_ID],tbl_Demand_Analysis[Avg_Daily_Demand])</f>
        <v>64.666666666666671</v>
      </c>
      <c r="C30" s="1" cm="1">
        <f t="array" ref="C30">_xlfn.XLOOKUP(A30,tbl_Demand_Analysis[Product_ID], tbl_Products[Lead_Time_(Days)])</f>
        <v>10</v>
      </c>
      <c r="D30" s="9">
        <f>(_xlfn.XLOOKUP(A30, tbl_Demand_Analysis[Product_ID], tbl_Demand_Analysis[Max_Daily_Demand]) - B30) * C30</f>
        <v>253.33333333333329</v>
      </c>
      <c r="E30" s="1">
        <f t="shared" si="1"/>
        <v>900</v>
      </c>
      <c r="F30" s="1">
        <f>_xlfn.XLOOKUP(A30,tbl_Inventory_Status[Product_ID], tbl_Inventory_Status[Current_Stock])</f>
        <v>726</v>
      </c>
      <c r="G30" s="9">
        <f>SQRT((2*(B30*365)*_xlfn.XLOOKUP(A30,tbl_Products[Product_ID],tbl_Products[Order_Cost_per_Unit]))/(_xlfn.XLOOKUP(A30,tbl_Products[Product_ID], tbl_Products[Holding_Cost_per_Unit(Monthly)])*12))</f>
        <v>454.10562379552624</v>
      </c>
      <c r="H30" s="20" t="str">
        <f t="shared" si="0"/>
        <v>REORDER</v>
      </c>
      <c r="I30" s="43">
        <f>IF(tbl_Reorder_Optimization[[#This Row],[Action]]="Sufficient_stock",0,1)</f>
        <v>1</v>
      </c>
    </row>
    <row r="31" spans="1:9" x14ac:dyDescent="0.3">
      <c r="A31" s="3" t="s">
        <v>1134</v>
      </c>
      <c r="B31" s="9">
        <f>_xlfn.XLOOKUP(A31,tbl_Demand_Analysis[Product_ID],tbl_Demand_Analysis[Avg_Daily_Demand])</f>
        <v>45.25</v>
      </c>
      <c r="C31" s="1" cm="1">
        <f t="array" ref="C31">_xlfn.XLOOKUP(A31,tbl_Demand_Analysis[Product_ID], tbl_Products[Lead_Time_(Days)])</f>
        <v>9</v>
      </c>
      <c r="D31" s="9">
        <f>(_xlfn.XLOOKUP(A31, tbl_Demand_Analysis[Product_ID], tbl_Demand_Analysis[Max_Daily_Demand]) - B31) * C31</f>
        <v>393.75</v>
      </c>
      <c r="E31" s="1">
        <f t="shared" si="1"/>
        <v>801</v>
      </c>
      <c r="F31" s="1">
        <f>_xlfn.XLOOKUP(A31,tbl_Inventory_Status[Product_ID], tbl_Inventory_Status[Current_Stock])</f>
        <v>279</v>
      </c>
      <c r="G31" s="9">
        <f>SQRT((2*(B31*365)*_xlfn.XLOOKUP(A31,tbl_Products[Product_ID],tbl_Products[Order_Cost_per_Unit]))/(_xlfn.XLOOKUP(A31,tbl_Products[Product_ID], tbl_Products[Holding_Cost_per_Unit(Monthly)])*12))</f>
        <v>228.27922589236263</v>
      </c>
      <c r="H31" s="20" t="str">
        <f t="shared" si="0"/>
        <v>REORDER</v>
      </c>
      <c r="I31" s="43">
        <f>IF(tbl_Reorder_Optimization[[#This Row],[Action]]="Sufficient_stock",0,1)</f>
        <v>1</v>
      </c>
    </row>
    <row r="32" spans="1:9" x14ac:dyDescent="0.3">
      <c r="A32" s="3" t="s">
        <v>1136</v>
      </c>
      <c r="B32" s="9">
        <f>_xlfn.XLOOKUP(A32,tbl_Demand_Analysis[Product_ID],tbl_Demand_Analysis[Avg_Daily_Demand])</f>
        <v>36.5</v>
      </c>
      <c r="C32" s="1" cm="1">
        <f t="array" ref="C32">_xlfn.XLOOKUP(A32,tbl_Demand_Analysis[Product_ID], tbl_Products[Lead_Time_(Days)])</f>
        <v>3</v>
      </c>
      <c r="D32" s="9">
        <f>(_xlfn.XLOOKUP(A32, tbl_Demand_Analysis[Product_ID], tbl_Demand_Analysis[Max_Daily_Demand]) - B32) * C32</f>
        <v>160.5</v>
      </c>
      <c r="E32" s="1">
        <f t="shared" si="1"/>
        <v>270</v>
      </c>
      <c r="F32" s="1">
        <f>_xlfn.XLOOKUP(A32,tbl_Inventory_Status[Product_ID], tbl_Inventory_Status[Current_Stock])</f>
        <v>764</v>
      </c>
      <c r="G32" s="9">
        <f>SQRT((2*(B32*365)*_xlfn.XLOOKUP(A32,tbl_Products[Product_ID],tbl_Products[Order_Cost_per_Unit]))/(_xlfn.XLOOKUP(A32,tbl_Products[Product_ID], tbl_Products[Holding_Cost_per_Unit(Monthly)])*12))</f>
        <v>444.26385219863471</v>
      </c>
      <c r="H32" s="20" t="str">
        <f t="shared" si="0"/>
        <v>SUFFICIENT_STOCK</v>
      </c>
      <c r="I32" s="43">
        <f>IF(tbl_Reorder_Optimization[[#This Row],[Action]]="Sufficient_stock",0,1)</f>
        <v>0</v>
      </c>
    </row>
    <row r="33" spans="1:9" x14ac:dyDescent="0.3">
      <c r="A33" s="3" t="s">
        <v>1138</v>
      </c>
      <c r="B33" s="9">
        <f>_xlfn.XLOOKUP(A33,tbl_Demand_Analysis[Product_ID],tbl_Demand_Analysis[Avg_Daily_Demand])</f>
        <v>48.333333333333336</v>
      </c>
      <c r="C33" s="1" cm="1">
        <f t="array" ref="C33">_xlfn.XLOOKUP(A33,tbl_Demand_Analysis[Product_ID], tbl_Products[Lead_Time_(Days)])</f>
        <v>7</v>
      </c>
      <c r="D33" s="9">
        <f>(_xlfn.XLOOKUP(A33, tbl_Demand_Analysis[Product_ID], tbl_Demand_Analysis[Max_Daily_Demand]) - B33) * C33</f>
        <v>179.66666666666666</v>
      </c>
      <c r="E33" s="1">
        <f t="shared" si="1"/>
        <v>518</v>
      </c>
      <c r="F33" s="1">
        <f>_xlfn.XLOOKUP(A33,tbl_Inventory_Status[Product_ID], tbl_Inventory_Status[Current_Stock])</f>
        <v>424</v>
      </c>
      <c r="G33" s="9">
        <f>SQRT((2*(B33*365)*_xlfn.XLOOKUP(A33,tbl_Products[Product_ID],tbl_Products[Order_Cost_per_Unit]))/(_xlfn.XLOOKUP(A33,tbl_Products[Product_ID], tbl_Products[Holding_Cost_per_Unit(Monthly)])*12))</f>
        <v>677.80410354156004</v>
      </c>
      <c r="H33" s="20" t="str">
        <f t="shared" si="0"/>
        <v>REORDER</v>
      </c>
      <c r="I33" s="43">
        <f>IF(tbl_Reorder_Optimization[[#This Row],[Action]]="Sufficient_stock",0,1)</f>
        <v>1</v>
      </c>
    </row>
    <row r="34" spans="1:9" x14ac:dyDescent="0.3">
      <c r="A34" s="3" t="s">
        <v>1141</v>
      </c>
      <c r="B34" s="9">
        <f>_xlfn.XLOOKUP(A34,tbl_Demand_Analysis[Product_ID],tbl_Demand_Analysis[Avg_Daily_Demand])</f>
        <v>78</v>
      </c>
      <c r="C34" s="1" cm="1">
        <f t="array" ref="C34">_xlfn.XLOOKUP(A34,tbl_Demand_Analysis[Product_ID], tbl_Products[Lead_Time_(Days)])</f>
        <v>4</v>
      </c>
      <c r="D34" s="9">
        <f>(_xlfn.XLOOKUP(A34, tbl_Demand_Analysis[Product_ID], tbl_Demand_Analysis[Max_Daily_Demand]) - B34) * C34</f>
        <v>76</v>
      </c>
      <c r="E34" s="1">
        <f t="shared" si="1"/>
        <v>388</v>
      </c>
      <c r="F34" s="1">
        <f>_xlfn.XLOOKUP(A34,tbl_Inventory_Status[Product_ID], tbl_Inventory_Status[Current_Stock])</f>
        <v>122</v>
      </c>
      <c r="G34" s="9">
        <f>SQRT((2*(B34*365)*_xlfn.XLOOKUP(A34,tbl_Products[Product_ID],tbl_Products[Order_Cost_per_Unit]))/(_xlfn.XLOOKUP(A34,tbl_Products[Product_ID], tbl_Products[Holding_Cost_per_Unit(Monthly)])*12))</f>
        <v>586.1769769240874</v>
      </c>
      <c r="H34" s="20" t="str">
        <f t="shared" ref="H34:H65" si="2">IF(F34&lt;=E34,"REORDER","SUFFICIENT_STOCK")</f>
        <v>REORDER</v>
      </c>
      <c r="I34" s="43">
        <f>IF(tbl_Reorder_Optimization[[#This Row],[Action]]="Sufficient_stock",0,1)</f>
        <v>1</v>
      </c>
    </row>
    <row r="35" spans="1:9" x14ac:dyDescent="0.3">
      <c r="A35" s="3" t="s">
        <v>1142</v>
      </c>
      <c r="B35" s="9">
        <f>_xlfn.XLOOKUP(A35,tbl_Demand_Analysis[Product_ID],tbl_Demand_Analysis[Avg_Daily_Demand])</f>
        <v>55</v>
      </c>
      <c r="C35" s="1" cm="1">
        <f t="array" ref="C35">_xlfn.XLOOKUP(A35,tbl_Demand_Analysis[Product_ID], tbl_Products[Lead_Time_(Days)])</f>
        <v>5</v>
      </c>
      <c r="D35" s="9">
        <f>(_xlfn.XLOOKUP(A35, tbl_Demand_Analysis[Product_ID], tbl_Demand_Analysis[Max_Daily_Demand]) - B35) * C35</f>
        <v>215</v>
      </c>
      <c r="E35" s="1">
        <f t="shared" si="1"/>
        <v>490</v>
      </c>
      <c r="F35" s="1">
        <f>_xlfn.XLOOKUP(A35,tbl_Inventory_Status[Product_ID], tbl_Inventory_Status[Current_Stock])</f>
        <v>182</v>
      </c>
      <c r="G35" s="9">
        <f>SQRT((2*(B35*365)*_xlfn.XLOOKUP(A35,tbl_Products[Product_ID],tbl_Products[Order_Cost_per_Unit]))/(_xlfn.XLOOKUP(A35,tbl_Products[Product_ID], tbl_Products[Holding_Cost_per_Unit(Monthly)])*12))</f>
        <v>633.64027649763557</v>
      </c>
      <c r="H35" s="20" t="str">
        <f t="shared" si="2"/>
        <v>REORDER</v>
      </c>
      <c r="I35" s="43">
        <f>IF(tbl_Reorder_Optimization[[#This Row],[Action]]="Sufficient_stock",0,1)</f>
        <v>1</v>
      </c>
    </row>
    <row r="36" spans="1:9" x14ac:dyDescent="0.3">
      <c r="A36" s="3" t="s">
        <v>1145</v>
      </c>
      <c r="B36" s="9">
        <f>_xlfn.XLOOKUP(A36,tbl_Demand_Analysis[Product_ID],tbl_Demand_Analysis[Avg_Daily_Demand])</f>
        <v>62.8</v>
      </c>
      <c r="C36" s="1" cm="1">
        <f t="array" ref="C36">_xlfn.XLOOKUP(A36,tbl_Demand_Analysis[Product_ID], tbl_Products[Lead_Time_(Days)])</f>
        <v>6</v>
      </c>
      <c r="D36" s="9">
        <f>(_xlfn.XLOOKUP(A36, tbl_Demand_Analysis[Product_ID], tbl_Demand_Analysis[Max_Daily_Demand]) - B36) * C36</f>
        <v>199.20000000000002</v>
      </c>
      <c r="E36" s="1">
        <f t="shared" si="1"/>
        <v>576</v>
      </c>
      <c r="F36" s="1">
        <f>_xlfn.XLOOKUP(A36,tbl_Inventory_Status[Product_ID], tbl_Inventory_Status[Current_Stock])</f>
        <v>541</v>
      </c>
      <c r="G36" s="9">
        <f>SQRT((2*(B36*365)*_xlfn.XLOOKUP(A36,tbl_Products[Product_ID],tbl_Products[Order_Cost_per_Unit]))/(_xlfn.XLOOKUP(A36,tbl_Products[Product_ID], tbl_Products[Holding_Cost_per_Unit(Monthly)])*12))</f>
        <v>544.00488467842877</v>
      </c>
      <c r="H36" s="20" t="str">
        <f t="shared" si="2"/>
        <v>REORDER</v>
      </c>
      <c r="I36" s="43">
        <f>IF(tbl_Reorder_Optimization[[#This Row],[Action]]="Sufficient_stock",0,1)</f>
        <v>1</v>
      </c>
    </row>
    <row r="37" spans="1:9" x14ac:dyDescent="0.3">
      <c r="A37" s="3" t="s">
        <v>1146</v>
      </c>
      <c r="B37" s="9">
        <f>_xlfn.XLOOKUP(A37,tbl_Demand_Analysis[Product_ID],tbl_Demand_Analysis[Avg_Daily_Demand])</f>
        <v>45</v>
      </c>
      <c r="C37" s="1" cm="1">
        <f t="array" ref="C37">_xlfn.XLOOKUP(A37,tbl_Demand_Analysis[Product_ID], tbl_Products[Lead_Time_(Days)])</f>
        <v>7</v>
      </c>
      <c r="D37" s="9">
        <f>(_xlfn.XLOOKUP(A37, tbl_Demand_Analysis[Product_ID], tbl_Demand_Analysis[Max_Daily_Demand]) - B37) * C37</f>
        <v>35</v>
      </c>
      <c r="E37" s="1">
        <f t="shared" si="1"/>
        <v>350</v>
      </c>
      <c r="F37" s="1">
        <f>_xlfn.XLOOKUP(A37,tbl_Inventory_Status[Product_ID], tbl_Inventory_Status[Current_Stock])</f>
        <v>536</v>
      </c>
      <c r="G37" s="9">
        <f>SQRT((2*(B37*365)*_xlfn.XLOOKUP(A37,tbl_Products[Product_ID],tbl_Products[Order_Cost_per_Unit]))/(_xlfn.XLOOKUP(A37,tbl_Products[Product_ID], tbl_Products[Holding_Cost_per_Unit(Monthly)])*12))</f>
        <v>262.97888648490795</v>
      </c>
      <c r="H37" s="20" t="str">
        <f t="shared" si="2"/>
        <v>SUFFICIENT_STOCK</v>
      </c>
      <c r="I37" s="43">
        <f>IF(tbl_Reorder_Optimization[[#This Row],[Action]]="Sufficient_stock",0,1)</f>
        <v>0</v>
      </c>
    </row>
    <row r="38" spans="1:9" x14ac:dyDescent="0.3">
      <c r="A38" s="3" t="s">
        <v>1147</v>
      </c>
      <c r="B38" s="9">
        <f>_xlfn.XLOOKUP(A38,tbl_Demand_Analysis[Product_ID],tbl_Demand_Analysis[Avg_Daily_Demand])</f>
        <v>85.166666666666671</v>
      </c>
      <c r="C38" s="1" cm="1">
        <f t="array" ref="C38">_xlfn.XLOOKUP(A38,tbl_Demand_Analysis[Product_ID], tbl_Products[Lead_Time_(Days)])</f>
        <v>2</v>
      </c>
      <c r="D38" s="9">
        <f>(_xlfn.XLOOKUP(A38, tbl_Demand_Analysis[Product_ID], tbl_Demand_Analysis[Max_Daily_Demand]) - B38) * C38</f>
        <v>27.666666666666657</v>
      </c>
      <c r="E38" s="1">
        <f t="shared" si="1"/>
        <v>198</v>
      </c>
      <c r="F38" s="1">
        <f>_xlfn.XLOOKUP(A38,tbl_Inventory_Status[Product_ID], tbl_Inventory_Status[Current_Stock])</f>
        <v>0</v>
      </c>
      <c r="G38" s="9">
        <f>SQRT((2*(B38*365)*_xlfn.XLOOKUP(A38,tbl_Products[Product_ID],tbl_Products[Order_Cost_per_Unit]))/(_xlfn.XLOOKUP(A38,tbl_Products[Product_ID], tbl_Products[Holding_Cost_per_Unit(Monthly)])*12))</f>
        <v>623.35617159587559</v>
      </c>
      <c r="H38" s="20" t="str">
        <f t="shared" si="2"/>
        <v>REORDER</v>
      </c>
      <c r="I38" s="43">
        <f>IF(tbl_Reorder_Optimization[[#This Row],[Action]]="Sufficient_stock",0,1)</f>
        <v>1</v>
      </c>
    </row>
    <row r="39" spans="1:9" x14ac:dyDescent="0.3">
      <c r="A39" s="3" t="s">
        <v>1148</v>
      </c>
      <c r="B39" s="9">
        <f>_xlfn.XLOOKUP(A39,tbl_Demand_Analysis[Product_ID],tbl_Demand_Analysis[Avg_Daily_Demand])</f>
        <v>70.333333333333329</v>
      </c>
      <c r="C39" s="1" cm="1">
        <f t="array" ref="C39">_xlfn.XLOOKUP(A39,tbl_Demand_Analysis[Product_ID], tbl_Products[Lead_Time_(Days)])</f>
        <v>6</v>
      </c>
      <c r="D39" s="9">
        <f>(_xlfn.XLOOKUP(A39, tbl_Demand_Analysis[Product_ID], tbl_Demand_Analysis[Max_Daily_Demand]) - B39) * C39</f>
        <v>136.00000000000003</v>
      </c>
      <c r="E39" s="1">
        <f t="shared" si="1"/>
        <v>558</v>
      </c>
      <c r="F39" s="1">
        <f>_xlfn.XLOOKUP(A39,tbl_Inventory_Status[Product_ID], tbl_Inventory_Status[Current_Stock])</f>
        <v>588</v>
      </c>
      <c r="G39" s="9">
        <f>SQRT((2*(B39*365)*_xlfn.XLOOKUP(A39,tbl_Products[Product_ID],tbl_Products[Order_Cost_per_Unit]))/(_xlfn.XLOOKUP(A39,tbl_Products[Product_ID], tbl_Products[Holding_Cost_per_Unit(Monthly)])*12))</f>
        <v>374.77920922563061</v>
      </c>
      <c r="H39" s="20" t="str">
        <f t="shared" si="2"/>
        <v>SUFFICIENT_STOCK</v>
      </c>
      <c r="I39" s="43">
        <f>IF(tbl_Reorder_Optimization[[#This Row],[Action]]="Sufficient_stock",0,1)</f>
        <v>0</v>
      </c>
    </row>
    <row r="40" spans="1:9" x14ac:dyDescent="0.3">
      <c r="A40" s="3" t="s">
        <v>1150</v>
      </c>
      <c r="B40" s="9">
        <f>_xlfn.XLOOKUP(A40,tbl_Demand_Analysis[Product_ID],tbl_Demand_Analysis[Avg_Daily_Demand])</f>
        <v>59.375</v>
      </c>
      <c r="C40" s="1" cm="1">
        <f t="array" ref="C40">_xlfn.XLOOKUP(A40,tbl_Demand_Analysis[Product_ID], tbl_Products[Lead_Time_(Days)])</f>
        <v>5</v>
      </c>
      <c r="D40" s="9">
        <f>(_xlfn.XLOOKUP(A40, tbl_Demand_Analysis[Product_ID], tbl_Demand_Analysis[Max_Daily_Demand]) - B40) * C40</f>
        <v>148.125</v>
      </c>
      <c r="E40" s="1">
        <f t="shared" si="1"/>
        <v>445</v>
      </c>
      <c r="F40" s="1">
        <f>_xlfn.XLOOKUP(A40,tbl_Inventory_Status[Product_ID], tbl_Inventory_Status[Current_Stock])</f>
        <v>427</v>
      </c>
      <c r="G40" s="9">
        <f>SQRT((2*(B40*365)*_xlfn.XLOOKUP(A40,tbl_Products[Product_ID],tbl_Products[Order_Cost_per_Unit]))/(_xlfn.XLOOKUP(A40,tbl_Products[Product_ID], tbl_Products[Holding_Cost_per_Unit(Monthly)])*12))</f>
        <v>317.92445678097607</v>
      </c>
      <c r="H40" s="20" t="str">
        <f t="shared" si="2"/>
        <v>REORDER</v>
      </c>
      <c r="I40" s="43">
        <f>IF(tbl_Reorder_Optimization[[#This Row],[Action]]="Sufficient_stock",0,1)</f>
        <v>1</v>
      </c>
    </row>
    <row r="41" spans="1:9" x14ac:dyDescent="0.3">
      <c r="A41" s="3" t="s">
        <v>1151</v>
      </c>
      <c r="B41" s="9">
        <f>_xlfn.XLOOKUP(A41,tbl_Demand_Analysis[Product_ID],tbl_Demand_Analysis[Avg_Daily_Demand])</f>
        <v>55</v>
      </c>
      <c r="C41" s="1" cm="1">
        <f t="array" ref="C41">_xlfn.XLOOKUP(A41,tbl_Demand_Analysis[Product_ID], tbl_Products[Lead_Time_(Days)])</f>
        <v>8</v>
      </c>
      <c r="D41" s="9">
        <f>(_xlfn.XLOOKUP(A41, tbl_Demand_Analysis[Product_ID], tbl_Demand_Analysis[Max_Daily_Demand]) - B41) * C41</f>
        <v>24</v>
      </c>
      <c r="E41" s="1">
        <f t="shared" si="1"/>
        <v>464</v>
      </c>
      <c r="F41" s="1">
        <f>_xlfn.XLOOKUP(A41,tbl_Inventory_Status[Product_ID], tbl_Inventory_Status[Current_Stock])</f>
        <v>799</v>
      </c>
      <c r="G41" s="9">
        <f>SQRT((2*(B41*365)*_xlfn.XLOOKUP(A41,tbl_Products[Product_ID],tbl_Products[Order_Cost_per_Unit]))/(_xlfn.XLOOKUP(A41,tbl_Products[Product_ID], tbl_Products[Holding_Cost_per_Unit(Monthly)])*12))</f>
        <v>274.20296482278047</v>
      </c>
      <c r="H41" s="20" t="str">
        <f t="shared" si="2"/>
        <v>SUFFICIENT_STOCK</v>
      </c>
      <c r="I41" s="43">
        <f>IF(tbl_Reorder_Optimization[[#This Row],[Action]]="Sufficient_stock",0,1)</f>
        <v>0</v>
      </c>
    </row>
    <row r="42" spans="1:9" x14ac:dyDescent="0.3">
      <c r="A42" s="3" t="s">
        <v>1153</v>
      </c>
      <c r="B42" s="9">
        <f>_xlfn.XLOOKUP(A42,tbl_Demand_Analysis[Product_ID],tbl_Demand_Analysis[Avg_Daily_Demand])</f>
        <v>51.6</v>
      </c>
      <c r="C42" s="1" cm="1">
        <f t="array" ref="C42">_xlfn.XLOOKUP(A42,tbl_Demand_Analysis[Product_ID], tbl_Products[Lead_Time_(Days)])</f>
        <v>9</v>
      </c>
      <c r="D42" s="9">
        <f>(_xlfn.XLOOKUP(A42, tbl_Demand_Analysis[Product_ID], tbl_Demand_Analysis[Max_Daily_Demand]) - B42) * C42</f>
        <v>327.59999999999997</v>
      </c>
      <c r="E42" s="1">
        <f t="shared" si="1"/>
        <v>792</v>
      </c>
      <c r="F42" s="1">
        <f>_xlfn.XLOOKUP(A42,tbl_Inventory_Status[Product_ID], tbl_Inventory_Status[Current_Stock])</f>
        <v>262</v>
      </c>
      <c r="G42" s="9">
        <f>SQRT((2*(B42*365)*_xlfn.XLOOKUP(A42,tbl_Products[Product_ID],tbl_Products[Order_Cost_per_Unit]))/(_xlfn.XLOOKUP(A42,tbl_Products[Product_ID], tbl_Products[Holding_Cost_per_Unit(Monthly)])*12))</f>
        <v>256.15093531491908</v>
      </c>
      <c r="H42" s="20" t="str">
        <f t="shared" si="2"/>
        <v>REORDER</v>
      </c>
      <c r="I42" s="43">
        <f>IF(tbl_Reorder_Optimization[[#This Row],[Action]]="Sufficient_stock",0,1)</f>
        <v>1</v>
      </c>
    </row>
    <row r="43" spans="1:9" x14ac:dyDescent="0.3">
      <c r="A43" s="3" t="s">
        <v>1155</v>
      </c>
      <c r="B43" s="9">
        <f>_xlfn.XLOOKUP(A43,tbl_Demand_Analysis[Product_ID],tbl_Demand_Analysis[Avg_Daily_Demand])</f>
        <v>46.333333333333336</v>
      </c>
      <c r="C43" s="1" cm="1">
        <f t="array" ref="C43">_xlfn.XLOOKUP(A43,tbl_Demand_Analysis[Product_ID], tbl_Products[Lead_Time_(Days)])</f>
        <v>8</v>
      </c>
      <c r="D43" s="9">
        <f>(_xlfn.XLOOKUP(A43, tbl_Demand_Analysis[Product_ID], tbl_Demand_Analysis[Max_Daily_Demand]) - B43) * C43</f>
        <v>397.33333333333331</v>
      </c>
      <c r="E43" s="1">
        <f t="shared" si="1"/>
        <v>768</v>
      </c>
      <c r="F43" s="1">
        <f>_xlfn.XLOOKUP(A43,tbl_Inventory_Status[Product_ID], tbl_Inventory_Status[Current_Stock])</f>
        <v>420</v>
      </c>
      <c r="G43" s="9">
        <f>SQRT((2*(B43*365)*_xlfn.XLOOKUP(A43,tbl_Products[Product_ID],tbl_Products[Order_Cost_per_Unit]))/(_xlfn.XLOOKUP(A43,tbl_Products[Product_ID], tbl_Products[Holding_Cost_per_Unit(Monthly)])*12))</f>
        <v>614.90354411377859</v>
      </c>
      <c r="H43" s="20" t="str">
        <f t="shared" si="2"/>
        <v>REORDER</v>
      </c>
      <c r="I43" s="43">
        <f>IF(tbl_Reorder_Optimization[[#This Row],[Action]]="Sufficient_stock",0,1)</f>
        <v>1</v>
      </c>
    </row>
    <row r="44" spans="1:9" x14ac:dyDescent="0.3">
      <c r="A44" s="3" t="s">
        <v>1156</v>
      </c>
      <c r="B44" s="9">
        <f>_xlfn.XLOOKUP(A44,tbl_Demand_Analysis[Product_ID],tbl_Demand_Analysis[Avg_Daily_Demand])</f>
        <v>59.2</v>
      </c>
      <c r="C44" s="1" cm="1">
        <f t="array" ref="C44">_xlfn.XLOOKUP(A44,tbl_Demand_Analysis[Product_ID], tbl_Products[Lead_Time_(Days)])</f>
        <v>3</v>
      </c>
      <c r="D44" s="9">
        <f>(_xlfn.XLOOKUP(A44, tbl_Demand_Analysis[Product_ID], tbl_Demand_Analysis[Max_Daily_Demand]) - B44) * C44</f>
        <v>92.399999999999991</v>
      </c>
      <c r="E44" s="1">
        <f t="shared" si="1"/>
        <v>270</v>
      </c>
      <c r="F44" s="1">
        <f>_xlfn.XLOOKUP(A44,tbl_Inventory_Status[Product_ID], tbl_Inventory_Status[Current_Stock])</f>
        <v>351</v>
      </c>
      <c r="G44" s="9">
        <f>SQRT((2*(B44*365)*_xlfn.XLOOKUP(A44,tbl_Products[Product_ID],tbl_Products[Order_Cost_per_Unit]))/(_xlfn.XLOOKUP(A44,tbl_Products[Product_ID], tbl_Products[Holding_Cost_per_Unit(Monthly)])*12))</f>
        <v>528.02736976960432</v>
      </c>
      <c r="H44" s="20" t="str">
        <f t="shared" si="2"/>
        <v>SUFFICIENT_STOCK</v>
      </c>
      <c r="I44" s="43">
        <f>IF(tbl_Reorder_Optimization[[#This Row],[Action]]="Sufficient_stock",0,1)</f>
        <v>0</v>
      </c>
    </row>
    <row r="45" spans="1:9" x14ac:dyDescent="0.3">
      <c r="A45" s="3" t="s">
        <v>1157</v>
      </c>
      <c r="B45" s="9">
        <f>_xlfn.XLOOKUP(A45,tbl_Demand_Analysis[Product_ID],tbl_Demand_Analysis[Avg_Daily_Demand])</f>
        <v>39</v>
      </c>
      <c r="C45" s="1" cm="1">
        <f t="array" ref="C45">_xlfn.XLOOKUP(A45,tbl_Demand_Analysis[Product_ID], tbl_Products[Lead_Time_(Days)])</f>
        <v>6</v>
      </c>
      <c r="D45" s="9">
        <f>(_xlfn.XLOOKUP(A45, tbl_Demand_Analysis[Product_ID], tbl_Demand_Analysis[Max_Daily_Demand]) - B45) * C45</f>
        <v>0</v>
      </c>
      <c r="E45" s="1">
        <f t="shared" si="1"/>
        <v>234</v>
      </c>
      <c r="F45" s="1">
        <f>_xlfn.XLOOKUP(A45,tbl_Inventory_Status[Product_ID], tbl_Inventory_Status[Current_Stock])</f>
        <v>872</v>
      </c>
      <c r="G45" s="9">
        <f>SQRT((2*(B45*365)*_xlfn.XLOOKUP(A45,tbl_Products[Product_ID],tbl_Products[Order_Cost_per_Unit]))/(_xlfn.XLOOKUP(A45,tbl_Products[Product_ID], tbl_Products[Holding_Cost_per_Unit(Monthly)])*12))</f>
        <v>313.32477366640427</v>
      </c>
      <c r="H45" s="20" t="str">
        <f t="shared" si="2"/>
        <v>SUFFICIENT_STOCK</v>
      </c>
      <c r="I45" s="43">
        <f>IF(tbl_Reorder_Optimization[[#This Row],[Action]]="Sufficient_stock",0,1)</f>
        <v>0</v>
      </c>
    </row>
    <row r="46" spans="1:9" x14ac:dyDescent="0.3">
      <c r="A46" s="3" t="s">
        <v>1159</v>
      </c>
      <c r="B46" s="9">
        <f>_xlfn.XLOOKUP(A46,tbl_Demand_Analysis[Product_ID],tbl_Demand_Analysis[Avg_Daily_Demand])</f>
        <v>44.375</v>
      </c>
      <c r="C46" s="1" cm="1">
        <f t="array" ref="C46">_xlfn.XLOOKUP(A46,tbl_Demand_Analysis[Product_ID], tbl_Products[Lead_Time_(Days)])</f>
        <v>5</v>
      </c>
      <c r="D46" s="9">
        <f>(_xlfn.XLOOKUP(A46, tbl_Demand_Analysis[Product_ID], tbl_Demand_Analysis[Max_Daily_Demand]) - B46) * C46</f>
        <v>233.125</v>
      </c>
      <c r="E46" s="1">
        <f t="shared" si="1"/>
        <v>455</v>
      </c>
      <c r="F46" s="1">
        <f>_xlfn.XLOOKUP(A46,tbl_Inventory_Status[Product_ID], tbl_Inventory_Status[Current_Stock])</f>
        <v>554</v>
      </c>
      <c r="G46" s="9">
        <f>SQRT((2*(B46*365)*_xlfn.XLOOKUP(A46,tbl_Products[Product_ID],tbl_Products[Order_Cost_per_Unit]))/(_xlfn.XLOOKUP(A46,tbl_Products[Product_ID], tbl_Products[Holding_Cost_per_Unit(Monthly)])*12))</f>
        <v>331.15908736713436</v>
      </c>
      <c r="H46" s="20" t="str">
        <f t="shared" si="2"/>
        <v>SUFFICIENT_STOCK</v>
      </c>
      <c r="I46" s="43">
        <f>IF(tbl_Reorder_Optimization[[#This Row],[Action]]="Sufficient_stock",0,1)</f>
        <v>0</v>
      </c>
    </row>
    <row r="47" spans="1:9" x14ac:dyDescent="0.3">
      <c r="A47" s="3" t="s">
        <v>1161</v>
      </c>
      <c r="B47" s="9">
        <f>_xlfn.XLOOKUP(A47,tbl_Demand_Analysis[Product_ID],tbl_Demand_Analysis[Avg_Daily_Demand])</f>
        <v>76.2</v>
      </c>
      <c r="C47" s="1" cm="1">
        <f t="array" ref="C47">_xlfn.XLOOKUP(A47,tbl_Demand_Analysis[Product_ID], tbl_Products[Lead_Time_(Days)])</f>
        <v>7</v>
      </c>
      <c r="D47" s="9">
        <f>(_xlfn.XLOOKUP(A47, tbl_Demand_Analysis[Product_ID], tbl_Demand_Analysis[Max_Daily_Demand]) - B47) * C47</f>
        <v>110.59999999999998</v>
      </c>
      <c r="E47" s="1">
        <f t="shared" si="1"/>
        <v>644</v>
      </c>
      <c r="F47" s="1">
        <f>_xlfn.XLOOKUP(A47,tbl_Inventory_Status[Product_ID], tbl_Inventory_Status[Current_Stock])</f>
        <v>588</v>
      </c>
      <c r="G47" s="9">
        <f>SQRT((2*(B47*365)*_xlfn.XLOOKUP(A47,tbl_Products[Product_ID],tbl_Products[Order_Cost_per_Unit]))/(_xlfn.XLOOKUP(A47,tbl_Products[Product_ID], tbl_Products[Holding_Cost_per_Unit(Monthly)])*12))</f>
        <v>338.17549360307618</v>
      </c>
      <c r="H47" s="20" t="str">
        <f t="shared" si="2"/>
        <v>REORDER</v>
      </c>
      <c r="I47" s="43">
        <f>IF(tbl_Reorder_Optimization[[#This Row],[Action]]="Sufficient_stock",0,1)</f>
        <v>1</v>
      </c>
    </row>
    <row r="48" spans="1:9" x14ac:dyDescent="0.3">
      <c r="A48" s="3" t="s">
        <v>1163</v>
      </c>
      <c r="B48" s="9">
        <f>_xlfn.XLOOKUP(A48,tbl_Demand_Analysis[Product_ID],tbl_Demand_Analysis[Avg_Daily_Demand])</f>
        <v>57</v>
      </c>
      <c r="C48" s="1" cm="1">
        <f t="array" ref="C48">_xlfn.XLOOKUP(A48,tbl_Demand_Analysis[Product_ID], tbl_Products[Lead_Time_(Days)])</f>
        <v>2</v>
      </c>
      <c r="D48" s="9">
        <f>(_xlfn.XLOOKUP(A48, tbl_Demand_Analysis[Product_ID], tbl_Demand_Analysis[Max_Daily_Demand]) - B48) * C48</f>
        <v>62</v>
      </c>
      <c r="E48" s="1">
        <f t="shared" si="1"/>
        <v>176</v>
      </c>
      <c r="F48" s="1">
        <f>_xlfn.XLOOKUP(A48,tbl_Inventory_Status[Product_ID], tbl_Inventory_Status[Current_Stock])</f>
        <v>254</v>
      </c>
      <c r="G48" s="9">
        <f>SQRT((2*(B48*365)*_xlfn.XLOOKUP(A48,tbl_Products[Product_ID],tbl_Products[Order_Cost_per_Unit]))/(_xlfn.XLOOKUP(A48,tbl_Products[Product_ID], tbl_Products[Holding_Cost_per_Unit(Monthly)])*12))</f>
        <v>645.05813691480557</v>
      </c>
      <c r="H48" s="20" t="str">
        <f t="shared" si="2"/>
        <v>SUFFICIENT_STOCK</v>
      </c>
      <c r="I48" s="43">
        <f>IF(tbl_Reorder_Optimization[[#This Row],[Action]]="Sufficient_stock",0,1)</f>
        <v>0</v>
      </c>
    </row>
    <row r="49" spans="1:9" x14ac:dyDescent="0.3">
      <c r="A49" s="3" t="s">
        <v>1164</v>
      </c>
      <c r="B49" s="9">
        <f>_xlfn.XLOOKUP(A49,tbl_Demand_Analysis[Product_ID],tbl_Demand_Analysis[Avg_Daily_Demand])</f>
        <v>53.666666666666664</v>
      </c>
      <c r="C49" s="1" cm="1">
        <f t="array" ref="C49">_xlfn.XLOOKUP(A49,tbl_Demand_Analysis[Product_ID], tbl_Products[Lead_Time_(Days)])</f>
        <v>6</v>
      </c>
      <c r="D49" s="9">
        <f>(_xlfn.XLOOKUP(A49, tbl_Demand_Analysis[Product_ID], tbl_Demand_Analysis[Max_Daily_Demand]) - B49) * C49</f>
        <v>188</v>
      </c>
      <c r="E49" s="1">
        <f t="shared" si="1"/>
        <v>510</v>
      </c>
      <c r="F49" s="1">
        <f>_xlfn.XLOOKUP(A49,tbl_Inventory_Status[Product_ID], tbl_Inventory_Status[Current_Stock])</f>
        <v>775</v>
      </c>
      <c r="G49" s="9">
        <f>SQRT((2*(B49*365)*_xlfn.XLOOKUP(A49,tbl_Products[Product_ID],tbl_Products[Order_Cost_per_Unit]))/(_xlfn.XLOOKUP(A49,tbl_Products[Product_ID], tbl_Products[Holding_Cost_per_Unit(Monthly)])*12))</f>
        <v>332.49276733369419</v>
      </c>
      <c r="H49" s="20" t="str">
        <f t="shared" si="2"/>
        <v>SUFFICIENT_STOCK</v>
      </c>
      <c r="I49" s="43">
        <f>IF(tbl_Reorder_Optimization[[#This Row],[Action]]="Sufficient_stock",0,1)</f>
        <v>0</v>
      </c>
    </row>
    <row r="50" spans="1:9" x14ac:dyDescent="0.3">
      <c r="A50" s="3" t="s">
        <v>1165</v>
      </c>
      <c r="B50" s="9">
        <f>_xlfn.XLOOKUP(A50,tbl_Demand_Analysis[Product_ID],tbl_Demand_Analysis[Avg_Daily_Demand])</f>
        <v>46.75</v>
      </c>
      <c r="C50" s="1" cm="1">
        <f t="array" ref="C50">_xlfn.XLOOKUP(A50,tbl_Demand_Analysis[Product_ID], tbl_Products[Lead_Time_(Days)])</f>
        <v>10</v>
      </c>
      <c r="D50" s="9">
        <f>(_xlfn.XLOOKUP(A50, tbl_Demand_Analysis[Product_ID], tbl_Demand_Analysis[Max_Daily_Demand]) - B50) * C50</f>
        <v>372.5</v>
      </c>
      <c r="E50" s="1">
        <f t="shared" si="1"/>
        <v>840</v>
      </c>
      <c r="F50" s="1">
        <f>_xlfn.XLOOKUP(A50,tbl_Inventory_Status[Product_ID], tbl_Inventory_Status[Current_Stock])</f>
        <v>190</v>
      </c>
      <c r="G50" s="9">
        <f>SQRT((2*(B50*365)*_xlfn.XLOOKUP(A50,tbl_Products[Product_ID],tbl_Products[Order_Cost_per_Unit]))/(_xlfn.XLOOKUP(A50,tbl_Products[Product_ID], tbl_Products[Holding_Cost_per_Unit(Monthly)])*12))</f>
        <v>361.90021463226185</v>
      </c>
      <c r="H50" s="20" t="str">
        <f t="shared" si="2"/>
        <v>REORDER</v>
      </c>
      <c r="I50" s="43">
        <f>IF(tbl_Reorder_Optimization[[#This Row],[Action]]="Sufficient_stock",0,1)</f>
        <v>1</v>
      </c>
    </row>
    <row r="51" spans="1:9" x14ac:dyDescent="0.3">
      <c r="A51" s="3" t="s">
        <v>1168</v>
      </c>
      <c r="B51" s="9">
        <f>_xlfn.XLOOKUP(A51,tbl_Demand_Analysis[Product_ID],tbl_Demand_Analysis[Avg_Daily_Demand])</f>
        <v>56.75</v>
      </c>
      <c r="C51" s="1" cm="1">
        <f t="array" ref="C51">_xlfn.XLOOKUP(A51,tbl_Demand_Analysis[Product_ID], tbl_Products[Lead_Time_(Days)])</f>
        <v>5</v>
      </c>
      <c r="D51" s="9">
        <f>(_xlfn.XLOOKUP(A51, tbl_Demand_Analysis[Product_ID], tbl_Demand_Analysis[Max_Daily_Demand]) - B51) * C51</f>
        <v>201.25</v>
      </c>
      <c r="E51" s="1">
        <f t="shared" si="1"/>
        <v>485</v>
      </c>
      <c r="F51" s="1">
        <f>_xlfn.XLOOKUP(A51,tbl_Inventory_Status[Product_ID], tbl_Inventory_Status[Current_Stock])</f>
        <v>366</v>
      </c>
      <c r="G51" s="9">
        <f>SQRT((2*(B51*365)*_xlfn.XLOOKUP(A51,tbl_Products[Product_ID],tbl_Products[Order_Cost_per_Unit]))/(_xlfn.XLOOKUP(A51,tbl_Products[Product_ID], tbl_Products[Holding_Cost_per_Unit(Monthly)])*12))</f>
        <v>568.90451197894356</v>
      </c>
      <c r="H51" s="20" t="str">
        <f t="shared" si="2"/>
        <v>REORDER</v>
      </c>
      <c r="I51" s="43">
        <f>IF(tbl_Reorder_Optimization[[#This Row],[Action]]="Sufficient_stock",0,1)</f>
        <v>1</v>
      </c>
    </row>
    <row r="52" spans="1:9" x14ac:dyDescent="0.3">
      <c r="A52" s="3" t="s">
        <v>1170</v>
      </c>
      <c r="B52" s="9">
        <f>_xlfn.XLOOKUP(A52,tbl_Demand_Analysis[Product_ID],tbl_Demand_Analysis[Avg_Daily_Demand])</f>
        <v>67</v>
      </c>
      <c r="C52" s="1" cm="1">
        <f t="array" ref="C52">_xlfn.XLOOKUP(A52,tbl_Demand_Analysis[Product_ID], tbl_Products[Lead_Time_(Days)])</f>
        <v>4</v>
      </c>
      <c r="D52" s="9">
        <f>(_xlfn.XLOOKUP(A52, tbl_Demand_Analysis[Product_ID], tbl_Demand_Analysis[Max_Daily_Demand]) - B52) * C52</f>
        <v>92</v>
      </c>
      <c r="E52" s="1">
        <f t="shared" si="1"/>
        <v>360</v>
      </c>
      <c r="F52" s="1">
        <f>_xlfn.XLOOKUP(A52,tbl_Inventory_Status[Product_ID], tbl_Inventory_Status[Current_Stock])</f>
        <v>168</v>
      </c>
      <c r="G52" s="9">
        <f>SQRT((2*(B52*365)*_xlfn.XLOOKUP(A52,tbl_Products[Product_ID],tbl_Products[Order_Cost_per_Unit]))/(_xlfn.XLOOKUP(A52,tbl_Products[Product_ID], tbl_Products[Holding_Cost_per_Unit(Monthly)])*12))</f>
        <v>667.67826895394262</v>
      </c>
      <c r="H52" s="20" t="str">
        <f t="shared" si="2"/>
        <v>REORDER</v>
      </c>
      <c r="I52" s="43">
        <f>IF(tbl_Reorder_Optimization[[#This Row],[Action]]="Sufficient_stock",0,1)</f>
        <v>1</v>
      </c>
    </row>
    <row r="53" spans="1:9" x14ac:dyDescent="0.3">
      <c r="A53" s="3" t="s">
        <v>1172</v>
      </c>
      <c r="B53" s="9">
        <f>_xlfn.XLOOKUP(A53,tbl_Demand_Analysis[Product_ID],tbl_Demand_Analysis[Avg_Daily_Demand])</f>
        <v>87</v>
      </c>
      <c r="C53" s="1" cm="1">
        <f t="array" ref="C53">_xlfn.XLOOKUP(A53,tbl_Demand_Analysis[Product_ID], tbl_Products[Lead_Time_(Days)])</f>
        <v>7</v>
      </c>
      <c r="D53" s="9">
        <f>(_xlfn.XLOOKUP(A53, tbl_Demand_Analysis[Product_ID], tbl_Demand_Analysis[Max_Daily_Demand]) - B53) * C53</f>
        <v>91</v>
      </c>
      <c r="E53" s="1">
        <f t="shared" si="1"/>
        <v>700</v>
      </c>
      <c r="F53" s="1">
        <f>_xlfn.XLOOKUP(A53,tbl_Inventory_Status[Product_ID], tbl_Inventory_Status[Current_Stock])</f>
        <v>0</v>
      </c>
      <c r="G53" s="9">
        <f>SQRT((2*(B53*365)*_xlfn.XLOOKUP(A53,tbl_Products[Product_ID],tbl_Products[Order_Cost_per_Unit]))/(_xlfn.XLOOKUP(A53,tbl_Products[Product_ID], tbl_Products[Holding_Cost_per_Unit(Monthly)])*12))</f>
        <v>530.58077372517801</v>
      </c>
      <c r="H53" s="20" t="str">
        <f t="shared" si="2"/>
        <v>REORDER</v>
      </c>
      <c r="I53" s="43">
        <f>IF(tbl_Reorder_Optimization[[#This Row],[Action]]="Sufficient_stock",0,1)</f>
        <v>1</v>
      </c>
    </row>
    <row r="54" spans="1:9" x14ac:dyDescent="0.3">
      <c r="A54" s="3" t="s">
        <v>1173</v>
      </c>
      <c r="B54" s="9">
        <f>_xlfn.XLOOKUP(A54,tbl_Demand_Analysis[Product_ID],tbl_Demand_Analysis[Avg_Daily_Demand])</f>
        <v>49.333333333333336</v>
      </c>
      <c r="C54" s="1" cm="1">
        <f t="array" ref="C54">_xlfn.XLOOKUP(A54,tbl_Demand_Analysis[Product_ID], tbl_Products[Lead_Time_(Days)])</f>
        <v>8</v>
      </c>
      <c r="D54" s="9">
        <f>(_xlfn.XLOOKUP(A54, tbl_Demand_Analysis[Product_ID], tbl_Demand_Analysis[Max_Daily_Demand]) - B54) * C54</f>
        <v>125.33333333333331</v>
      </c>
      <c r="E54" s="1">
        <f t="shared" si="1"/>
        <v>520</v>
      </c>
      <c r="F54" s="1">
        <f>_xlfn.XLOOKUP(A54,tbl_Inventory_Status[Product_ID], tbl_Inventory_Status[Current_Stock])</f>
        <v>414</v>
      </c>
      <c r="G54" s="9">
        <f>SQRT((2*(B54*365)*_xlfn.XLOOKUP(A54,tbl_Products[Product_ID],tbl_Products[Order_Cost_per_Unit]))/(_xlfn.XLOOKUP(A54,tbl_Products[Product_ID], tbl_Products[Holding_Cost_per_Unit(Monthly)])*12))</f>
        <v>394.22668927874804</v>
      </c>
      <c r="H54" s="20" t="str">
        <f t="shared" si="2"/>
        <v>REORDER</v>
      </c>
      <c r="I54" s="43">
        <f>IF(tbl_Reorder_Optimization[[#This Row],[Action]]="Sufficient_stock",0,1)</f>
        <v>1</v>
      </c>
    </row>
    <row r="55" spans="1:9" x14ac:dyDescent="0.3">
      <c r="A55" s="3" t="s">
        <v>1174</v>
      </c>
      <c r="B55" s="9">
        <f>_xlfn.XLOOKUP(A55,tbl_Demand_Analysis[Product_ID],tbl_Demand_Analysis[Avg_Daily_Demand])</f>
        <v>56.833333333333336</v>
      </c>
      <c r="C55" s="1" cm="1">
        <f t="array" ref="C55">_xlfn.XLOOKUP(A55,tbl_Demand_Analysis[Product_ID], tbl_Products[Lead_Time_(Days)])</f>
        <v>6</v>
      </c>
      <c r="D55" s="9">
        <f>(_xlfn.XLOOKUP(A55, tbl_Demand_Analysis[Product_ID], tbl_Demand_Analysis[Max_Daily_Demand]) - B55) * C55</f>
        <v>139</v>
      </c>
      <c r="E55" s="1">
        <f t="shared" si="1"/>
        <v>480</v>
      </c>
      <c r="F55" s="1">
        <f>_xlfn.XLOOKUP(A55,tbl_Inventory_Status[Product_ID], tbl_Inventory_Status[Current_Stock])</f>
        <v>196</v>
      </c>
      <c r="G55" s="9">
        <f>SQRT((2*(B55*365)*_xlfn.XLOOKUP(A55,tbl_Products[Product_ID],tbl_Products[Order_Cost_per_Unit]))/(_xlfn.XLOOKUP(A55,tbl_Products[Product_ID], tbl_Products[Holding_Cost_per_Unit(Monthly)])*12))</f>
        <v>387.1686617607017</v>
      </c>
      <c r="H55" s="20" t="str">
        <f t="shared" si="2"/>
        <v>REORDER</v>
      </c>
      <c r="I55" s="43">
        <f>IF(tbl_Reorder_Optimization[[#This Row],[Action]]="Sufficient_stock",0,1)</f>
        <v>1</v>
      </c>
    </row>
    <row r="56" spans="1:9" x14ac:dyDescent="0.3">
      <c r="A56" s="3" t="s">
        <v>1176</v>
      </c>
      <c r="B56" s="9">
        <f>_xlfn.XLOOKUP(A56,tbl_Demand_Analysis[Product_ID],tbl_Demand_Analysis[Avg_Daily_Demand])</f>
        <v>33.428571428571431</v>
      </c>
      <c r="C56" s="1" cm="1">
        <f t="array" ref="C56">_xlfn.XLOOKUP(A56,tbl_Demand_Analysis[Product_ID], tbl_Products[Lead_Time_(Days)])</f>
        <v>4</v>
      </c>
      <c r="D56" s="9">
        <f>(_xlfn.XLOOKUP(A56, tbl_Demand_Analysis[Product_ID], tbl_Demand_Analysis[Max_Daily_Demand]) - B56) * C56</f>
        <v>234.28571428571428</v>
      </c>
      <c r="E56" s="1">
        <f t="shared" si="1"/>
        <v>368</v>
      </c>
      <c r="F56" s="1">
        <f>_xlfn.XLOOKUP(A56,tbl_Inventory_Status[Product_ID], tbl_Inventory_Status[Current_Stock])</f>
        <v>488</v>
      </c>
      <c r="G56" s="9">
        <f>SQRT((2*(B56*365)*_xlfn.XLOOKUP(A56,tbl_Products[Product_ID],tbl_Products[Order_Cost_per_Unit]))/(_xlfn.XLOOKUP(A56,tbl_Products[Product_ID], tbl_Products[Holding_Cost_per_Unit(Monthly)])*12))</f>
        <v>362.74513589219276</v>
      </c>
      <c r="H56" s="20" t="str">
        <f t="shared" si="2"/>
        <v>SUFFICIENT_STOCK</v>
      </c>
      <c r="I56" s="43">
        <f>IF(tbl_Reorder_Optimization[[#This Row],[Action]]="Sufficient_stock",0,1)</f>
        <v>0</v>
      </c>
    </row>
    <row r="57" spans="1:9" x14ac:dyDescent="0.3">
      <c r="A57" s="3" t="s">
        <v>1177</v>
      </c>
      <c r="B57" s="9">
        <f>_xlfn.XLOOKUP(A57,tbl_Demand_Analysis[Product_ID],tbl_Demand_Analysis[Avg_Daily_Demand])</f>
        <v>68.75</v>
      </c>
      <c r="C57" s="1" cm="1">
        <f t="array" ref="C57">_xlfn.XLOOKUP(A57,tbl_Demand_Analysis[Product_ID], tbl_Products[Lead_Time_(Days)])</f>
        <v>7</v>
      </c>
      <c r="D57" s="9">
        <f>(_xlfn.XLOOKUP(A57, tbl_Demand_Analysis[Product_ID], tbl_Demand_Analysis[Max_Daily_Demand]) - B57) * C57</f>
        <v>155.75</v>
      </c>
      <c r="E57" s="1">
        <f t="shared" si="1"/>
        <v>637</v>
      </c>
      <c r="F57" s="1">
        <f>_xlfn.XLOOKUP(A57,tbl_Inventory_Status[Product_ID], tbl_Inventory_Status[Current_Stock])</f>
        <v>614</v>
      </c>
      <c r="G57" s="9">
        <f>SQRT((2*(B57*365)*_xlfn.XLOOKUP(A57,tbl_Products[Product_ID],tbl_Products[Order_Cost_per_Unit]))/(_xlfn.XLOOKUP(A57,tbl_Products[Product_ID], tbl_Products[Holding_Cost_per_Unit(Monthly)])*12))</f>
        <v>419.30428426447992</v>
      </c>
      <c r="H57" s="20" t="str">
        <f t="shared" si="2"/>
        <v>REORDER</v>
      </c>
      <c r="I57" s="43">
        <f>IF(tbl_Reorder_Optimization[[#This Row],[Action]]="Sufficient_stock",0,1)</f>
        <v>1</v>
      </c>
    </row>
    <row r="58" spans="1:9" x14ac:dyDescent="0.3">
      <c r="A58" s="3" t="s">
        <v>1179</v>
      </c>
      <c r="B58" s="9">
        <f>_xlfn.XLOOKUP(A58,tbl_Demand_Analysis[Product_ID],tbl_Demand_Analysis[Avg_Daily_Demand])</f>
        <v>61.666666666666664</v>
      </c>
      <c r="C58" s="1" cm="1">
        <f t="array" ref="C58">_xlfn.XLOOKUP(A58,tbl_Demand_Analysis[Product_ID], tbl_Products[Lead_Time_(Days)])</f>
        <v>5</v>
      </c>
      <c r="D58" s="9">
        <f>(_xlfn.XLOOKUP(A58, tbl_Demand_Analysis[Product_ID], tbl_Demand_Analysis[Max_Daily_Demand]) - B58) * C58</f>
        <v>111.66666666666669</v>
      </c>
      <c r="E58" s="1">
        <f t="shared" si="1"/>
        <v>420</v>
      </c>
      <c r="F58" s="1">
        <f>_xlfn.XLOOKUP(A58,tbl_Inventory_Status[Product_ID], tbl_Inventory_Status[Current_Stock])</f>
        <v>438</v>
      </c>
      <c r="G58" s="9">
        <f>SQRT((2*(B58*365)*_xlfn.XLOOKUP(A58,tbl_Products[Product_ID],tbl_Products[Order_Cost_per_Unit]))/(_xlfn.XLOOKUP(A58,tbl_Products[Product_ID], tbl_Products[Holding_Cost_per_Unit(Monthly)])*12))</f>
        <v>446.15388374624672</v>
      </c>
      <c r="H58" s="20" t="str">
        <f t="shared" si="2"/>
        <v>SUFFICIENT_STOCK</v>
      </c>
      <c r="I58" s="43">
        <f>IF(tbl_Reorder_Optimization[[#This Row],[Action]]="Sufficient_stock",0,1)</f>
        <v>0</v>
      </c>
    </row>
    <row r="59" spans="1:9" x14ac:dyDescent="0.3">
      <c r="A59" s="3" t="s">
        <v>1180</v>
      </c>
      <c r="B59" s="9">
        <f>_xlfn.XLOOKUP(A59,tbl_Demand_Analysis[Product_ID],tbl_Demand_Analysis[Avg_Daily_Demand])</f>
        <v>65.666666666666671</v>
      </c>
      <c r="C59" s="1" cm="1">
        <f t="array" ref="C59">_xlfn.XLOOKUP(A59,tbl_Demand_Analysis[Product_ID], tbl_Products[Lead_Time_(Days)])</f>
        <v>6</v>
      </c>
      <c r="D59" s="9">
        <f>(_xlfn.XLOOKUP(A59, tbl_Demand_Analysis[Product_ID], tbl_Demand_Analysis[Max_Daily_Demand]) - B59) * C59</f>
        <v>175.99999999999997</v>
      </c>
      <c r="E59" s="1">
        <f t="shared" si="1"/>
        <v>570</v>
      </c>
      <c r="F59" s="1">
        <f>_xlfn.XLOOKUP(A59,tbl_Inventory_Status[Product_ID], tbl_Inventory_Status[Current_Stock])</f>
        <v>194</v>
      </c>
      <c r="G59" s="9">
        <f>SQRT((2*(B59*365)*_xlfn.XLOOKUP(A59,tbl_Products[Product_ID],tbl_Products[Order_Cost_per_Unit]))/(_xlfn.XLOOKUP(A59,tbl_Products[Product_ID], tbl_Products[Holding_Cost_per_Unit(Monthly)])*12))</f>
        <v>450.82175348058138</v>
      </c>
      <c r="H59" s="20" t="str">
        <f t="shared" si="2"/>
        <v>REORDER</v>
      </c>
      <c r="I59" s="43">
        <f>IF(tbl_Reorder_Optimization[[#This Row],[Action]]="Sufficient_stock",0,1)</f>
        <v>1</v>
      </c>
    </row>
    <row r="60" spans="1:9" x14ac:dyDescent="0.3">
      <c r="A60" s="3" t="s">
        <v>1181</v>
      </c>
      <c r="B60" s="9">
        <f>_xlfn.XLOOKUP(A60,tbl_Demand_Analysis[Product_ID],tbl_Demand_Analysis[Avg_Daily_Demand])</f>
        <v>49.142857142857146</v>
      </c>
      <c r="C60" s="1" cm="1">
        <f t="array" ref="C60">_xlfn.XLOOKUP(A60,tbl_Demand_Analysis[Product_ID], tbl_Products[Lead_Time_(Days)])</f>
        <v>4</v>
      </c>
      <c r="D60" s="9">
        <f>(_xlfn.XLOOKUP(A60, tbl_Demand_Analysis[Product_ID], tbl_Demand_Analysis[Max_Daily_Demand]) - B60) * C60</f>
        <v>107.42857142857142</v>
      </c>
      <c r="E60" s="1">
        <f t="shared" si="1"/>
        <v>304</v>
      </c>
      <c r="F60" s="1">
        <f>_xlfn.XLOOKUP(A60,tbl_Inventory_Status[Product_ID], tbl_Inventory_Status[Current_Stock])</f>
        <v>290</v>
      </c>
      <c r="G60" s="9">
        <f>SQRT((2*(B60*365)*_xlfn.XLOOKUP(A60,tbl_Products[Product_ID],tbl_Products[Order_Cost_per_Unit]))/(_xlfn.XLOOKUP(A60,tbl_Products[Product_ID], tbl_Products[Holding_Cost_per_Unit(Monthly)])*12))</f>
        <v>495.27190642541126</v>
      </c>
      <c r="H60" s="20" t="str">
        <f t="shared" si="2"/>
        <v>REORDER</v>
      </c>
      <c r="I60" s="43">
        <f>IF(tbl_Reorder_Optimization[[#This Row],[Action]]="Sufficient_stock",0,1)</f>
        <v>1</v>
      </c>
    </row>
    <row r="61" spans="1:9" x14ac:dyDescent="0.3">
      <c r="A61" s="3" t="s">
        <v>1183</v>
      </c>
      <c r="B61" s="9">
        <f>_xlfn.XLOOKUP(A61,tbl_Demand_Analysis[Product_ID],tbl_Demand_Analysis[Avg_Daily_Demand])</f>
        <v>60</v>
      </c>
      <c r="C61" s="1" cm="1">
        <f t="array" ref="C61">_xlfn.XLOOKUP(A61,tbl_Demand_Analysis[Product_ID], tbl_Products[Lead_Time_(Days)])</f>
        <v>5</v>
      </c>
      <c r="D61" s="9">
        <f>(_xlfn.XLOOKUP(A61, tbl_Demand_Analysis[Product_ID], tbl_Demand_Analysis[Max_Daily_Demand]) - B61) * C61</f>
        <v>140</v>
      </c>
      <c r="E61" s="1">
        <f t="shared" si="1"/>
        <v>440</v>
      </c>
      <c r="F61" s="1">
        <f>_xlfn.XLOOKUP(A61,tbl_Inventory_Status[Product_ID], tbl_Inventory_Status[Current_Stock])</f>
        <v>493</v>
      </c>
      <c r="G61" s="9">
        <f>SQRT((2*(B61*365)*_xlfn.XLOOKUP(A61,tbl_Products[Product_ID],tbl_Products[Order_Cost_per_Unit]))/(_xlfn.XLOOKUP(A61,tbl_Products[Product_ID], tbl_Products[Holding_Cost_per_Unit(Monthly)])*12))</f>
        <v>538.83291388974101</v>
      </c>
      <c r="H61" s="20" t="str">
        <f t="shared" si="2"/>
        <v>SUFFICIENT_STOCK</v>
      </c>
      <c r="I61" s="43">
        <f>IF(tbl_Reorder_Optimization[[#This Row],[Action]]="Sufficient_stock",0,1)</f>
        <v>0</v>
      </c>
    </row>
    <row r="62" spans="1:9" x14ac:dyDescent="0.3">
      <c r="A62" s="3" t="s">
        <v>1185</v>
      </c>
      <c r="B62" s="9">
        <f>_xlfn.XLOOKUP(A62,tbl_Demand_Analysis[Product_ID],tbl_Demand_Analysis[Avg_Daily_Demand])</f>
        <v>71</v>
      </c>
      <c r="C62" s="1" cm="1">
        <f t="array" ref="C62">_xlfn.XLOOKUP(A62,tbl_Demand_Analysis[Product_ID], tbl_Products[Lead_Time_(Days)])</f>
        <v>3</v>
      </c>
      <c r="D62" s="9">
        <f>(_xlfn.XLOOKUP(A62, tbl_Demand_Analysis[Product_ID], tbl_Demand_Analysis[Max_Daily_Demand]) - B62) * C62</f>
        <v>66</v>
      </c>
      <c r="E62" s="1">
        <f t="shared" si="1"/>
        <v>279</v>
      </c>
      <c r="F62" s="1">
        <f>_xlfn.XLOOKUP(A62,tbl_Inventory_Status[Product_ID], tbl_Inventory_Status[Current_Stock])</f>
        <v>364</v>
      </c>
      <c r="G62" s="9">
        <f>SQRT((2*(B62*365)*_xlfn.XLOOKUP(A62,tbl_Products[Product_ID],tbl_Products[Order_Cost_per_Unit]))/(_xlfn.XLOOKUP(A62,tbl_Products[Product_ID], tbl_Products[Holding_Cost_per_Unit(Monthly)])*12))</f>
        <v>576.40575096332077</v>
      </c>
      <c r="H62" s="20" t="str">
        <f t="shared" si="2"/>
        <v>SUFFICIENT_STOCK</v>
      </c>
      <c r="I62" s="43">
        <f>IF(tbl_Reorder_Optimization[[#This Row],[Action]]="Sufficient_stock",0,1)</f>
        <v>0</v>
      </c>
    </row>
    <row r="63" spans="1:9" x14ac:dyDescent="0.3">
      <c r="A63" s="3" t="s">
        <v>1186</v>
      </c>
      <c r="B63" s="9">
        <f>_xlfn.XLOOKUP(A63,tbl_Demand_Analysis[Product_ID],tbl_Demand_Analysis[Avg_Daily_Demand])</f>
        <v>49.6</v>
      </c>
      <c r="C63" s="1" cm="1">
        <f t="array" ref="C63">_xlfn.XLOOKUP(A63,tbl_Demand_Analysis[Product_ID], tbl_Products[Lead_Time_(Days)])</f>
        <v>3</v>
      </c>
      <c r="D63" s="9">
        <f>(_xlfn.XLOOKUP(A63, tbl_Demand_Analysis[Product_ID], tbl_Demand_Analysis[Max_Daily_Demand]) - B63) * C63</f>
        <v>31.199999999999996</v>
      </c>
      <c r="E63" s="1">
        <f t="shared" si="1"/>
        <v>180</v>
      </c>
      <c r="F63" s="1">
        <f>_xlfn.XLOOKUP(A63,tbl_Inventory_Status[Product_ID], tbl_Inventory_Status[Current_Stock])</f>
        <v>684</v>
      </c>
      <c r="G63" s="9">
        <f>SQRT((2*(B63*365)*_xlfn.XLOOKUP(A63,tbl_Products[Product_ID],tbl_Products[Order_Cost_per_Unit]))/(_xlfn.XLOOKUP(A63,tbl_Products[Product_ID], tbl_Products[Holding_Cost_per_Unit(Monthly)])*12))</f>
        <v>528.82443641802854</v>
      </c>
      <c r="H63" s="20" t="str">
        <f t="shared" si="2"/>
        <v>SUFFICIENT_STOCK</v>
      </c>
      <c r="I63" s="43">
        <f>IF(tbl_Reorder_Optimization[[#This Row],[Action]]="Sufficient_stock",0,1)</f>
        <v>0</v>
      </c>
    </row>
    <row r="64" spans="1:9" x14ac:dyDescent="0.3">
      <c r="A64" s="3" t="s">
        <v>1187</v>
      </c>
      <c r="B64" s="9">
        <f>_xlfn.XLOOKUP(A64,tbl_Demand_Analysis[Product_ID],tbl_Demand_Analysis[Avg_Daily_Demand])</f>
        <v>59</v>
      </c>
      <c r="C64" s="1" cm="1">
        <f t="array" ref="C64">_xlfn.XLOOKUP(A64,tbl_Demand_Analysis[Product_ID], tbl_Products[Lead_Time_(Days)])</f>
        <v>4</v>
      </c>
      <c r="D64" s="9">
        <f>(_xlfn.XLOOKUP(A64, tbl_Demand_Analysis[Product_ID], tbl_Demand_Analysis[Max_Daily_Demand]) - B64) * C64</f>
        <v>68</v>
      </c>
      <c r="E64" s="1">
        <f t="shared" si="1"/>
        <v>304</v>
      </c>
      <c r="F64" s="1">
        <f>_xlfn.XLOOKUP(A64,tbl_Inventory_Status[Product_ID], tbl_Inventory_Status[Current_Stock])</f>
        <v>365</v>
      </c>
      <c r="G64" s="9">
        <f>SQRT((2*(B64*365)*_xlfn.XLOOKUP(A64,tbl_Products[Product_ID],tbl_Products[Order_Cost_per_Unit]))/(_xlfn.XLOOKUP(A64,tbl_Products[Product_ID], tbl_Products[Holding_Cost_per_Unit(Monthly)])*12))</f>
        <v>498.47845412893145</v>
      </c>
      <c r="H64" s="20" t="str">
        <f t="shared" si="2"/>
        <v>SUFFICIENT_STOCK</v>
      </c>
      <c r="I64" s="43">
        <f>IF(tbl_Reorder_Optimization[[#This Row],[Action]]="Sufficient_stock",0,1)</f>
        <v>0</v>
      </c>
    </row>
    <row r="65" spans="1:9" x14ac:dyDescent="0.3">
      <c r="A65" s="3" t="s">
        <v>1189</v>
      </c>
      <c r="B65" s="9">
        <f>_xlfn.XLOOKUP(A65,tbl_Demand_Analysis[Product_ID],tbl_Demand_Analysis[Avg_Daily_Demand])</f>
        <v>54.25</v>
      </c>
      <c r="C65" s="1" cm="1">
        <f t="array" ref="C65">_xlfn.XLOOKUP(A65,tbl_Demand_Analysis[Product_ID], tbl_Products[Lead_Time_(Days)])</f>
        <v>5</v>
      </c>
      <c r="D65" s="9">
        <f>(_xlfn.XLOOKUP(A65, tbl_Demand_Analysis[Product_ID], tbl_Demand_Analysis[Max_Daily_Demand]) - B65) * C65</f>
        <v>183.75</v>
      </c>
      <c r="E65" s="1">
        <f t="shared" si="1"/>
        <v>455</v>
      </c>
      <c r="F65" s="1">
        <f>_xlfn.XLOOKUP(A65,tbl_Inventory_Status[Product_ID], tbl_Inventory_Status[Current_Stock])</f>
        <v>273</v>
      </c>
      <c r="G65" s="9">
        <f>SQRT((2*(B65*365)*_xlfn.XLOOKUP(A65,tbl_Products[Product_ID],tbl_Products[Order_Cost_per_Unit]))/(_xlfn.XLOOKUP(A65,tbl_Products[Product_ID], tbl_Products[Holding_Cost_per_Unit(Monthly)])*12))</f>
        <v>574.47439745678253</v>
      </c>
      <c r="H65" s="20" t="str">
        <f t="shared" si="2"/>
        <v>REORDER</v>
      </c>
      <c r="I65" s="43">
        <f>IF(tbl_Reorder_Optimization[[#This Row],[Action]]="Sufficient_stock",0,1)</f>
        <v>1</v>
      </c>
    </row>
    <row r="66" spans="1:9" x14ac:dyDescent="0.3">
      <c r="A66" s="3" t="s">
        <v>1190</v>
      </c>
      <c r="B66" s="9">
        <f>_xlfn.XLOOKUP(A66,tbl_Demand_Analysis[Product_ID],tbl_Demand_Analysis[Avg_Daily_Demand])</f>
        <v>81.285714285714292</v>
      </c>
      <c r="C66" s="1" cm="1">
        <f t="array" ref="C66">_xlfn.XLOOKUP(A66,tbl_Demand_Analysis[Product_ID], tbl_Products[Lead_Time_(Days)])</f>
        <v>8</v>
      </c>
      <c r="D66" s="9">
        <f>(_xlfn.XLOOKUP(A66, tbl_Demand_Analysis[Product_ID], tbl_Demand_Analysis[Max_Daily_Demand]) - B66) * C66</f>
        <v>133.71428571428567</v>
      </c>
      <c r="E66" s="1">
        <f t="shared" si="1"/>
        <v>784</v>
      </c>
      <c r="F66" s="1">
        <f>_xlfn.XLOOKUP(A66,tbl_Inventory_Status[Product_ID], tbl_Inventory_Status[Current_Stock])</f>
        <v>106</v>
      </c>
      <c r="G66" s="9">
        <f>SQRT((2*(B66*365)*_xlfn.XLOOKUP(A66,tbl_Products[Product_ID],tbl_Products[Order_Cost_per_Unit]))/(_xlfn.XLOOKUP(A66,tbl_Products[Product_ID], tbl_Products[Holding_Cost_per_Unit(Monthly)])*12))</f>
        <v>846.25951835934654</v>
      </c>
      <c r="H66" s="20" t="str">
        <f t="shared" ref="H66:H97" si="3">IF(F66&lt;=E66,"REORDER","SUFFICIENT_STOCK")</f>
        <v>REORDER</v>
      </c>
      <c r="I66" s="43">
        <f>IF(tbl_Reorder_Optimization[[#This Row],[Action]]="Sufficient_stock",0,1)</f>
        <v>1</v>
      </c>
    </row>
    <row r="67" spans="1:9" x14ac:dyDescent="0.3">
      <c r="A67" s="3" t="s">
        <v>1191</v>
      </c>
      <c r="B67" s="9">
        <f>_xlfn.XLOOKUP(A67,tbl_Demand_Analysis[Product_ID],tbl_Demand_Analysis[Avg_Daily_Demand])</f>
        <v>56.25</v>
      </c>
      <c r="C67" s="1" cm="1">
        <f t="array" ref="C67">_xlfn.XLOOKUP(A67,tbl_Demand_Analysis[Product_ID], tbl_Products[Lead_Time_(Days)])</f>
        <v>7</v>
      </c>
      <c r="D67" s="9">
        <f>(_xlfn.XLOOKUP(A67, tbl_Demand_Analysis[Product_ID], tbl_Demand_Analysis[Max_Daily_Demand]) - B67) * C67</f>
        <v>215.25</v>
      </c>
      <c r="E67" s="1">
        <f t="shared" ref="E67:E122" si="4">(B67*C67)+D67</f>
        <v>609</v>
      </c>
      <c r="F67" s="1">
        <f>_xlfn.XLOOKUP(A67,tbl_Inventory_Status[Product_ID], tbl_Inventory_Status[Current_Stock])</f>
        <v>403</v>
      </c>
      <c r="G67" s="9">
        <f>SQRT((2*(B67*365)*_xlfn.XLOOKUP(A67,tbl_Products[Product_ID],tbl_Products[Order_Cost_per_Unit]))/(_xlfn.XLOOKUP(A67,tbl_Products[Product_ID], tbl_Products[Holding_Cost_per_Unit(Monthly)])*12))</f>
        <v>685.93572038493517</v>
      </c>
      <c r="H67" s="20" t="str">
        <f t="shared" si="3"/>
        <v>REORDER</v>
      </c>
      <c r="I67" s="43">
        <f>IF(tbl_Reorder_Optimization[[#This Row],[Action]]="Sufficient_stock",0,1)</f>
        <v>1</v>
      </c>
    </row>
    <row r="68" spans="1:9" x14ac:dyDescent="0.3">
      <c r="A68" s="3" t="s">
        <v>1193</v>
      </c>
      <c r="B68" s="9">
        <f>_xlfn.XLOOKUP(A68,tbl_Demand_Analysis[Product_ID],tbl_Demand_Analysis[Avg_Daily_Demand])</f>
        <v>57</v>
      </c>
      <c r="C68" s="1" cm="1">
        <f t="array" ref="C68">_xlfn.XLOOKUP(A68,tbl_Demand_Analysis[Product_ID], tbl_Products[Lead_Time_(Days)])</f>
        <v>5</v>
      </c>
      <c r="D68" s="9">
        <f>(_xlfn.XLOOKUP(A68, tbl_Demand_Analysis[Product_ID], tbl_Demand_Analysis[Max_Daily_Demand]) - B68) * C68</f>
        <v>35</v>
      </c>
      <c r="E68" s="1">
        <f t="shared" si="4"/>
        <v>320</v>
      </c>
      <c r="F68" s="1">
        <f>_xlfn.XLOOKUP(A68,tbl_Inventory_Status[Product_ID], tbl_Inventory_Status[Current_Stock])</f>
        <v>743</v>
      </c>
      <c r="G68" s="9">
        <f>SQRT((2*(B68*365)*_xlfn.XLOOKUP(A68,tbl_Products[Product_ID],tbl_Products[Order_Cost_per_Unit]))/(_xlfn.XLOOKUP(A68,tbl_Products[Product_ID], tbl_Products[Holding_Cost_per_Unit(Monthly)])*12))</f>
        <v>504.93884312272672</v>
      </c>
      <c r="H68" s="20" t="str">
        <f t="shared" si="3"/>
        <v>SUFFICIENT_STOCK</v>
      </c>
      <c r="I68" s="43">
        <f>IF(tbl_Reorder_Optimization[[#This Row],[Action]]="Sufficient_stock",0,1)</f>
        <v>0</v>
      </c>
    </row>
    <row r="69" spans="1:9" x14ac:dyDescent="0.3">
      <c r="A69" s="3" t="s">
        <v>1195</v>
      </c>
      <c r="B69" s="9">
        <f>_xlfn.XLOOKUP(A69,tbl_Demand_Analysis[Product_ID],tbl_Demand_Analysis[Avg_Daily_Demand])</f>
        <v>54.875</v>
      </c>
      <c r="C69" s="1" cm="1">
        <f t="array" ref="C69">_xlfn.XLOOKUP(A69,tbl_Demand_Analysis[Product_ID], tbl_Products[Lead_Time_(Days)])</f>
        <v>3</v>
      </c>
      <c r="D69" s="9">
        <f>(_xlfn.XLOOKUP(A69, tbl_Demand_Analysis[Product_ID], tbl_Demand_Analysis[Max_Daily_Demand]) - B69) * C69</f>
        <v>123.375</v>
      </c>
      <c r="E69" s="1">
        <f t="shared" si="4"/>
        <v>288</v>
      </c>
      <c r="F69" s="1">
        <f>_xlfn.XLOOKUP(A69,tbl_Inventory_Status[Product_ID], tbl_Inventory_Status[Current_Stock])</f>
        <v>372</v>
      </c>
      <c r="G69" s="9">
        <f>SQRT((2*(B69*365)*_xlfn.XLOOKUP(A69,tbl_Products[Product_ID],tbl_Products[Order_Cost_per_Unit]))/(_xlfn.XLOOKUP(A69,tbl_Products[Product_ID], tbl_Products[Holding_Cost_per_Unit(Monthly)])*12))</f>
        <v>632.91982114640712</v>
      </c>
      <c r="H69" s="20" t="str">
        <f t="shared" si="3"/>
        <v>SUFFICIENT_STOCK</v>
      </c>
      <c r="I69" s="43">
        <f>IF(tbl_Reorder_Optimization[[#This Row],[Action]]="Sufficient_stock",0,1)</f>
        <v>0</v>
      </c>
    </row>
    <row r="70" spans="1:9" x14ac:dyDescent="0.3">
      <c r="A70" s="3" t="s">
        <v>1197</v>
      </c>
      <c r="B70" s="9">
        <f>_xlfn.XLOOKUP(A70,tbl_Demand_Analysis[Product_ID],tbl_Demand_Analysis[Avg_Daily_Demand])</f>
        <v>50.333333333333336</v>
      </c>
      <c r="C70" s="1" cm="1">
        <f t="array" ref="C70">_xlfn.XLOOKUP(A70,tbl_Demand_Analysis[Product_ID], tbl_Products[Lead_Time_(Days)])</f>
        <v>9</v>
      </c>
      <c r="D70" s="9">
        <f>(_xlfn.XLOOKUP(A70, tbl_Demand_Analysis[Product_ID], tbl_Demand_Analysis[Max_Daily_Demand]) - B70) * C70</f>
        <v>312</v>
      </c>
      <c r="E70" s="1">
        <f t="shared" si="4"/>
        <v>765</v>
      </c>
      <c r="F70" s="1">
        <f>_xlfn.XLOOKUP(A70,tbl_Inventory_Status[Product_ID], tbl_Inventory_Status[Current_Stock])</f>
        <v>386</v>
      </c>
      <c r="G70" s="9">
        <f>SQRT((2*(B70*365)*_xlfn.XLOOKUP(A70,tbl_Products[Product_ID],tbl_Products[Order_Cost_per_Unit]))/(_xlfn.XLOOKUP(A70,tbl_Products[Product_ID], tbl_Products[Holding_Cost_per_Unit(Monthly)])*12))</f>
        <v>330.68891534213651</v>
      </c>
      <c r="H70" s="20" t="str">
        <f t="shared" si="3"/>
        <v>REORDER</v>
      </c>
      <c r="I70" s="43">
        <f>IF(tbl_Reorder_Optimization[[#This Row],[Action]]="Sufficient_stock",0,1)</f>
        <v>1</v>
      </c>
    </row>
    <row r="71" spans="1:9" x14ac:dyDescent="0.3">
      <c r="A71" s="3" t="s">
        <v>1199</v>
      </c>
      <c r="B71" s="9">
        <f>_xlfn.XLOOKUP(A71,tbl_Demand_Analysis[Product_ID],tbl_Demand_Analysis[Avg_Daily_Demand])</f>
        <v>53.166666666666664</v>
      </c>
      <c r="C71" s="1" cm="1">
        <f t="array" ref="C71">_xlfn.XLOOKUP(A71,tbl_Demand_Analysis[Product_ID], tbl_Products[Lead_Time_(Days)])</f>
        <v>6</v>
      </c>
      <c r="D71" s="9">
        <f>(_xlfn.XLOOKUP(A71, tbl_Demand_Analysis[Product_ID], tbl_Demand_Analysis[Max_Daily_Demand]) - B71) * C71</f>
        <v>269</v>
      </c>
      <c r="E71" s="1">
        <f t="shared" si="4"/>
        <v>588</v>
      </c>
      <c r="F71" s="1">
        <f>_xlfn.XLOOKUP(A71,tbl_Inventory_Status[Product_ID], tbl_Inventory_Status[Current_Stock])</f>
        <v>131</v>
      </c>
      <c r="G71" s="9">
        <f>SQRT((2*(B71*365)*_xlfn.XLOOKUP(A71,tbl_Products[Product_ID],tbl_Products[Order_Cost_per_Unit]))/(_xlfn.XLOOKUP(A71,tbl_Products[Product_ID], tbl_Products[Holding_Cost_per_Unit(Monthly)])*12))</f>
        <v>536.18450850476256</v>
      </c>
      <c r="H71" s="20" t="str">
        <f t="shared" si="3"/>
        <v>REORDER</v>
      </c>
      <c r="I71" s="43">
        <f>IF(tbl_Reorder_Optimization[[#This Row],[Action]]="Sufficient_stock",0,1)</f>
        <v>1</v>
      </c>
    </row>
    <row r="72" spans="1:9" x14ac:dyDescent="0.3">
      <c r="A72" s="3" t="s">
        <v>1201</v>
      </c>
      <c r="B72" s="9">
        <f>_xlfn.XLOOKUP(A72,tbl_Demand_Analysis[Product_ID],tbl_Demand_Analysis[Avg_Daily_Demand])</f>
        <v>58</v>
      </c>
      <c r="C72" s="1" cm="1">
        <f t="array" ref="C72">_xlfn.XLOOKUP(A72,tbl_Demand_Analysis[Product_ID], tbl_Products[Lead_Time_(Days)])</f>
        <v>8</v>
      </c>
      <c r="D72" s="9">
        <f>(_xlfn.XLOOKUP(A72, tbl_Demand_Analysis[Product_ID], tbl_Demand_Analysis[Max_Daily_Demand]) - B72) * C72</f>
        <v>120</v>
      </c>
      <c r="E72" s="1">
        <f t="shared" si="4"/>
        <v>584</v>
      </c>
      <c r="F72" s="1">
        <f>_xlfn.XLOOKUP(A72,tbl_Inventory_Status[Product_ID], tbl_Inventory_Status[Current_Stock])</f>
        <v>102</v>
      </c>
      <c r="G72" s="9">
        <f>SQRT((2*(B72*365)*_xlfn.XLOOKUP(A72,tbl_Products[Product_ID],tbl_Products[Order_Cost_per_Unit]))/(_xlfn.XLOOKUP(A72,tbl_Products[Product_ID], tbl_Products[Holding_Cost_per_Unit(Monthly)])*12))</f>
        <v>380.5517727475376</v>
      </c>
      <c r="H72" s="20" t="str">
        <f t="shared" si="3"/>
        <v>REORDER</v>
      </c>
      <c r="I72" s="43">
        <f>IF(tbl_Reorder_Optimization[[#This Row],[Action]]="Sufficient_stock",0,1)</f>
        <v>1</v>
      </c>
    </row>
    <row r="73" spans="1:9" x14ac:dyDescent="0.3">
      <c r="A73" s="3" t="s">
        <v>1202</v>
      </c>
      <c r="B73" s="9">
        <f>_xlfn.XLOOKUP(A73,tbl_Demand_Analysis[Product_ID],tbl_Demand_Analysis[Avg_Daily_Demand])</f>
        <v>58.222222222222221</v>
      </c>
      <c r="C73" s="1" cm="1">
        <f t="array" ref="C73">_xlfn.XLOOKUP(A73,tbl_Demand_Analysis[Product_ID], tbl_Products[Lead_Time_(Days)])</f>
        <v>10</v>
      </c>
      <c r="D73" s="9">
        <f>(_xlfn.XLOOKUP(A73, tbl_Demand_Analysis[Product_ID], tbl_Demand_Analysis[Max_Daily_Demand]) - B73) * C73</f>
        <v>397.77777777777777</v>
      </c>
      <c r="E73" s="1">
        <f t="shared" si="4"/>
        <v>980</v>
      </c>
      <c r="F73" s="1">
        <f>_xlfn.XLOOKUP(A73,tbl_Inventory_Status[Product_ID], tbl_Inventory_Status[Current_Stock])</f>
        <v>322</v>
      </c>
      <c r="G73" s="9">
        <f>SQRT((2*(B73*365)*_xlfn.XLOOKUP(A73,tbl_Products[Product_ID],tbl_Products[Order_Cost_per_Unit]))/(_xlfn.XLOOKUP(A73,tbl_Products[Product_ID], tbl_Products[Holding_Cost_per_Unit(Monthly)])*12))</f>
        <v>347.64838513078735</v>
      </c>
      <c r="H73" s="20" t="str">
        <f t="shared" si="3"/>
        <v>REORDER</v>
      </c>
      <c r="I73" s="43">
        <f>IF(tbl_Reorder_Optimization[[#This Row],[Action]]="Sufficient_stock",0,1)</f>
        <v>1</v>
      </c>
    </row>
    <row r="74" spans="1:9" x14ac:dyDescent="0.3">
      <c r="A74" s="3" t="s">
        <v>1203</v>
      </c>
      <c r="B74" s="9">
        <f>_xlfn.XLOOKUP(A74,tbl_Demand_Analysis[Product_ID],tbl_Demand_Analysis[Avg_Daily_Demand])</f>
        <v>62.666666666666664</v>
      </c>
      <c r="C74" s="1" cm="1">
        <f t="array" ref="C74">_xlfn.XLOOKUP(A74,tbl_Demand_Analysis[Product_ID], tbl_Products[Lead_Time_(Days)])</f>
        <v>7</v>
      </c>
      <c r="D74" s="9">
        <f>(_xlfn.XLOOKUP(A74, tbl_Demand_Analysis[Product_ID], tbl_Demand_Analysis[Max_Daily_Demand]) - B74) * C74</f>
        <v>240.33333333333334</v>
      </c>
      <c r="E74" s="1">
        <f t="shared" si="4"/>
        <v>679</v>
      </c>
      <c r="F74" s="1">
        <f>_xlfn.XLOOKUP(A74,tbl_Inventory_Status[Product_ID], tbl_Inventory_Status[Current_Stock])</f>
        <v>452</v>
      </c>
      <c r="G74" s="9">
        <f>SQRT((2*(B74*365)*_xlfn.XLOOKUP(A74,tbl_Products[Product_ID],tbl_Products[Order_Cost_per_Unit]))/(_xlfn.XLOOKUP(A74,tbl_Products[Product_ID], tbl_Products[Holding_Cost_per_Unit(Monthly)])*12))</f>
        <v>484.35347691359726</v>
      </c>
      <c r="H74" s="20" t="str">
        <f t="shared" si="3"/>
        <v>REORDER</v>
      </c>
      <c r="I74" s="43">
        <f>IF(tbl_Reorder_Optimization[[#This Row],[Action]]="Sufficient_stock",0,1)</f>
        <v>1</v>
      </c>
    </row>
    <row r="75" spans="1:9" x14ac:dyDescent="0.3">
      <c r="A75" s="3" t="s">
        <v>1204</v>
      </c>
      <c r="B75" s="9">
        <f>_xlfn.XLOOKUP(A75,tbl_Demand_Analysis[Product_ID],tbl_Demand_Analysis[Avg_Daily_Demand])</f>
        <v>77</v>
      </c>
      <c r="C75" s="1" cm="1">
        <f t="array" ref="C75">_xlfn.XLOOKUP(A75,tbl_Demand_Analysis[Product_ID], tbl_Products[Lead_Time_(Days)])</f>
        <v>9</v>
      </c>
      <c r="D75" s="9">
        <f>(_xlfn.XLOOKUP(A75, tbl_Demand_Analysis[Product_ID], tbl_Demand_Analysis[Max_Daily_Demand]) - B75) * C75</f>
        <v>90</v>
      </c>
      <c r="E75" s="1">
        <f t="shared" si="4"/>
        <v>783</v>
      </c>
      <c r="F75" s="1">
        <f>_xlfn.XLOOKUP(A75,tbl_Inventory_Status[Product_ID], tbl_Inventory_Status[Current_Stock])</f>
        <v>636</v>
      </c>
      <c r="G75" s="9">
        <f>SQRT((2*(B75*365)*_xlfn.XLOOKUP(A75,tbl_Products[Product_ID],tbl_Products[Order_Cost_per_Unit]))/(_xlfn.XLOOKUP(A75,tbl_Products[Product_ID], tbl_Products[Holding_Cost_per_Unit(Monthly)])*12))</f>
        <v>412.71459064749985</v>
      </c>
      <c r="H75" s="20" t="str">
        <f t="shared" si="3"/>
        <v>REORDER</v>
      </c>
      <c r="I75" s="43">
        <f>IF(tbl_Reorder_Optimization[[#This Row],[Action]]="Sufficient_stock",0,1)</f>
        <v>1</v>
      </c>
    </row>
    <row r="76" spans="1:9" x14ac:dyDescent="0.3">
      <c r="A76" s="3" t="s">
        <v>1206</v>
      </c>
      <c r="B76" s="9">
        <f>_xlfn.XLOOKUP(A76,tbl_Demand_Analysis[Product_ID],tbl_Demand_Analysis[Avg_Daily_Demand])</f>
        <v>52.5</v>
      </c>
      <c r="C76" s="1" cm="1">
        <f t="array" ref="C76">_xlfn.XLOOKUP(A76,tbl_Demand_Analysis[Product_ID], tbl_Products[Lead_Time_(Days)])</f>
        <v>6</v>
      </c>
      <c r="D76" s="9">
        <f>(_xlfn.XLOOKUP(A76, tbl_Demand_Analysis[Product_ID], tbl_Demand_Analysis[Max_Daily_Demand]) - B76) * C76</f>
        <v>99</v>
      </c>
      <c r="E76" s="1">
        <f t="shared" si="4"/>
        <v>414</v>
      </c>
      <c r="F76" s="1">
        <f>_xlfn.XLOOKUP(A76,tbl_Inventory_Status[Product_ID], tbl_Inventory_Status[Current_Stock])</f>
        <v>83</v>
      </c>
      <c r="G76" s="9">
        <f>SQRT((2*(B76*365)*_xlfn.XLOOKUP(A76,tbl_Products[Product_ID],tbl_Products[Order_Cost_per_Unit]))/(_xlfn.XLOOKUP(A76,tbl_Products[Product_ID], tbl_Products[Holding_Cost_per_Unit(Monthly)])*12))</f>
        <v>483.1039464514061</v>
      </c>
      <c r="H76" s="20" t="str">
        <f t="shared" si="3"/>
        <v>REORDER</v>
      </c>
      <c r="I76" s="43">
        <f>IF(tbl_Reorder_Optimization[[#This Row],[Action]]="Sufficient_stock",0,1)</f>
        <v>1</v>
      </c>
    </row>
    <row r="77" spans="1:9" x14ac:dyDescent="0.3">
      <c r="A77" s="3" t="s">
        <v>1208</v>
      </c>
      <c r="B77" s="9">
        <f>_xlfn.XLOOKUP(A77,tbl_Demand_Analysis[Product_ID],tbl_Demand_Analysis[Avg_Daily_Demand])</f>
        <v>42.666666666666664</v>
      </c>
      <c r="C77" s="1" cm="1">
        <f t="array" ref="C77">_xlfn.XLOOKUP(A77,tbl_Demand_Analysis[Product_ID], tbl_Products[Lead_Time_(Days)])</f>
        <v>7</v>
      </c>
      <c r="D77" s="9">
        <f>(_xlfn.XLOOKUP(A77, tbl_Demand_Analysis[Product_ID], tbl_Demand_Analysis[Max_Daily_Demand]) - B77) * C77</f>
        <v>226.33333333333334</v>
      </c>
      <c r="E77" s="1">
        <f t="shared" si="4"/>
        <v>525</v>
      </c>
      <c r="F77" s="1">
        <f>_xlfn.XLOOKUP(A77,tbl_Inventory_Status[Product_ID], tbl_Inventory_Status[Current_Stock])</f>
        <v>424</v>
      </c>
      <c r="G77" s="9">
        <f>SQRT((2*(B77*365)*_xlfn.XLOOKUP(A77,tbl_Products[Product_ID],tbl_Products[Order_Cost_per_Unit]))/(_xlfn.XLOOKUP(A77,tbl_Products[Product_ID], tbl_Products[Holding_Cost_per_Unit(Monthly)])*12))</f>
        <v>412.71459064749979</v>
      </c>
      <c r="H77" s="20" t="str">
        <f t="shared" si="3"/>
        <v>REORDER</v>
      </c>
      <c r="I77" s="43">
        <f>IF(tbl_Reorder_Optimization[[#This Row],[Action]]="Sufficient_stock",0,1)</f>
        <v>1</v>
      </c>
    </row>
    <row r="78" spans="1:9" x14ac:dyDescent="0.3">
      <c r="A78" s="3" t="s">
        <v>1210</v>
      </c>
      <c r="B78" s="9">
        <f>_xlfn.XLOOKUP(A78,tbl_Demand_Analysis[Product_ID],tbl_Demand_Analysis[Avg_Daily_Demand])</f>
        <v>66.25</v>
      </c>
      <c r="C78" s="1" cm="1">
        <f t="array" ref="C78">_xlfn.XLOOKUP(A78,tbl_Demand_Analysis[Product_ID], tbl_Products[Lead_Time_(Days)])</f>
        <v>10</v>
      </c>
      <c r="D78" s="9">
        <f>(_xlfn.XLOOKUP(A78, tbl_Demand_Analysis[Product_ID], tbl_Demand_Analysis[Max_Daily_Demand]) - B78) * C78</f>
        <v>277.5</v>
      </c>
      <c r="E78" s="1">
        <f t="shared" si="4"/>
        <v>940</v>
      </c>
      <c r="F78" s="1">
        <f>_xlfn.XLOOKUP(A78,tbl_Inventory_Status[Product_ID], tbl_Inventory_Status[Current_Stock])</f>
        <v>224</v>
      </c>
      <c r="G78" s="9">
        <f>SQRT((2*(B78*365)*_xlfn.XLOOKUP(A78,tbl_Products[Product_ID],tbl_Products[Order_Cost_per_Unit]))/(_xlfn.XLOOKUP(A78,tbl_Products[Product_ID], tbl_Products[Holding_Cost_per_Unit(Monthly)])*12))</f>
        <v>360.56444698570539</v>
      </c>
      <c r="H78" s="20" t="str">
        <f t="shared" si="3"/>
        <v>REORDER</v>
      </c>
      <c r="I78" s="43">
        <f>IF(tbl_Reorder_Optimization[[#This Row],[Action]]="Sufficient_stock",0,1)</f>
        <v>1</v>
      </c>
    </row>
    <row r="79" spans="1:9" x14ac:dyDescent="0.3">
      <c r="A79" s="3" t="s">
        <v>1212</v>
      </c>
      <c r="B79" s="9">
        <f>_xlfn.XLOOKUP(A79,tbl_Demand_Analysis[Product_ID],tbl_Demand_Analysis[Avg_Daily_Demand])</f>
        <v>53.75</v>
      </c>
      <c r="C79" s="1" cm="1">
        <f t="array" ref="C79">_xlfn.XLOOKUP(A79,tbl_Demand_Analysis[Product_ID], tbl_Products[Lead_Time_(Days)])</f>
        <v>5</v>
      </c>
      <c r="D79" s="9">
        <f>(_xlfn.XLOOKUP(A79, tbl_Demand_Analysis[Product_ID], tbl_Demand_Analysis[Max_Daily_Demand]) - B79) * C79</f>
        <v>196.25</v>
      </c>
      <c r="E79" s="1">
        <f t="shared" si="4"/>
        <v>465</v>
      </c>
      <c r="F79" s="1">
        <f>_xlfn.XLOOKUP(A79,tbl_Inventory_Status[Product_ID], tbl_Inventory_Status[Current_Stock])</f>
        <v>647</v>
      </c>
      <c r="G79" s="9">
        <f>SQRT((2*(B79*365)*_xlfn.XLOOKUP(A79,tbl_Products[Product_ID],tbl_Products[Order_Cost_per_Unit]))/(_xlfn.XLOOKUP(A79,tbl_Products[Product_ID], tbl_Products[Holding_Cost_per_Unit(Monthly)])*12))</f>
        <v>380.82946575763714</v>
      </c>
      <c r="H79" s="20" t="str">
        <f t="shared" si="3"/>
        <v>SUFFICIENT_STOCK</v>
      </c>
      <c r="I79" s="43">
        <f>IF(tbl_Reorder_Optimization[[#This Row],[Action]]="Sufficient_stock",0,1)</f>
        <v>0</v>
      </c>
    </row>
    <row r="80" spans="1:9" x14ac:dyDescent="0.3">
      <c r="A80" s="3" t="s">
        <v>1214</v>
      </c>
      <c r="B80" s="9">
        <f>_xlfn.XLOOKUP(A80,tbl_Demand_Analysis[Product_ID],tbl_Demand_Analysis[Avg_Daily_Demand])</f>
        <v>53.2</v>
      </c>
      <c r="C80" s="1" cm="1">
        <f t="array" ref="C80">_xlfn.XLOOKUP(A80,tbl_Demand_Analysis[Product_ID], tbl_Products[Lead_Time_(Days)])</f>
        <v>6</v>
      </c>
      <c r="D80" s="9">
        <f>(_xlfn.XLOOKUP(A80, tbl_Demand_Analysis[Product_ID], tbl_Demand_Analysis[Max_Daily_Demand]) - B80) * C80</f>
        <v>232.79999999999998</v>
      </c>
      <c r="E80" s="1">
        <f t="shared" si="4"/>
        <v>552</v>
      </c>
      <c r="F80" s="1">
        <f>_xlfn.XLOOKUP(A80,tbl_Inventory_Status[Product_ID], tbl_Inventory_Status[Current_Stock])</f>
        <v>781</v>
      </c>
      <c r="G80" s="9">
        <f>SQRT((2*(B80*365)*_xlfn.XLOOKUP(A80,tbl_Products[Product_ID],tbl_Products[Order_Cost_per_Unit]))/(_xlfn.XLOOKUP(A80,tbl_Products[Product_ID], tbl_Products[Holding_Cost_per_Unit(Monthly)])*12))</f>
        <v>358.64119154595767</v>
      </c>
      <c r="H80" s="20" t="str">
        <f t="shared" si="3"/>
        <v>SUFFICIENT_STOCK</v>
      </c>
      <c r="I80" s="43">
        <f>IF(tbl_Reorder_Optimization[[#This Row],[Action]]="Sufficient_stock",0,1)</f>
        <v>0</v>
      </c>
    </row>
    <row r="81" spans="1:9" x14ac:dyDescent="0.3">
      <c r="A81" s="3" t="s">
        <v>1216</v>
      </c>
      <c r="B81" s="9">
        <f>_xlfn.XLOOKUP(A81,tbl_Demand_Analysis[Product_ID],tbl_Demand_Analysis[Avg_Daily_Demand])</f>
        <v>56</v>
      </c>
      <c r="C81" s="1" cm="1">
        <f t="array" ref="C81">_xlfn.XLOOKUP(A81,tbl_Demand_Analysis[Product_ID], tbl_Products[Lead_Time_(Days)])</f>
        <v>4</v>
      </c>
      <c r="D81" s="9">
        <f>(_xlfn.XLOOKUP(A81, tbl_Demand_Analysis[Product_ID], tbl_Demand_Analysis[Max_Daily_Demand]) - B81) * C81</f>
        <v>144</v>
      </c>
      <c r="E81" s="1">
        <f t="shared" si="4"/>
        <v>368</v>
      </c>
      <c r="F81" s="1">
        <f>_xlfn.XLOOKUP(A81,tbl_Inventory_Status[Product_ID], tbl_Inventory_Status[Current_Stock])</f>
        <v>577</v>
      </c>
      <c r="G81" s="9">
        <f>SQRT((2*(B81*365)*_xlfn.XLOOKUP(A81,tbl_Products[Product_ID],tbl_Products[Order_Cost_per_Unit]))/(_xlfn.XLOOKUP(A81,tbl_Products[Product_ID], tbl_Products[Holding_Cost_per_Unit(Monthly)])*12))</f>
        <v>432.37856042153055</v>
      </c>
      <c r="H81" s="20" t="str">
        <f t="shared" si="3"/>
        <v>SUFFICIENT_STOCK</v>
      </c>
      <c r="I81" s="43">
        <f>IF(tbl_Reorder_Optimization[[#This Row],[Action]]="Sufficient_stock",0,1)</f>
        <v>0</v>
      </c>
    </row>
    <row r="82" spans="1:9" x14ac:dyDescent="0.3">
      <c r="A82" s="3" t="s">
        <v>1217</v>
      </c>
      <c r="B82" s="9">
        <f>_xlfn.XLOOKUP(A82,tbl_Demand_Analysis[Product_ID],tbl_Demand_Analysis[Avg_Daily_Demand])</f>
        <v>53.75</v>
      </c>
      <c r="C82" s="1" cm="1">
        <f t="array" ref="C82">_xlfn.XLOOKUP(A82,tbl_Demand_Analysis[Product_ID], tbl_Products[Lead_Time_(Days)])</f>
        <v>7</v>
      </c>
      <c r="D82" s="9">
        <f>(_xlfn.XLOOKUP(A82, tbl_Demand_Analysis[Product_ID], tbl_Demand_Analysis[Max_Daily_Demand]) - B82) * C82</f>
        <v>50.75</v>
      </c>
      <c r="E82" s="1">
        <f t="shared" si="4"/>
        <v>427</v>
      </c>
      <c r="F82" s="1">
        <f>_xlfn.XLOOKUP(A82,tbl_Inventory_Status[Product_ID], tbl_Inventory_Status[Current_Stock])</f>
        <v>916</v>
      </c>
      <c r="G82" s="9">
        <f>SQRT((2*(B82*365)*_xlfn.XLOOKUP(A82,tbl_Products[Product_ID],tbl_Products[Order_Cost_per_Unit]))/(_xlfn.XLOOKUP(A82,tbl_Products[Product_ID], tbl_Products[Holding_Cost_per_Unit(Monthly)])*12))</f>
        <v>414.84249811900185</v>
      </c>
      <c r="H82" s="20" t="str">
        <f t="shared" si="3"/>
        <v>SUFFICIENT_STOCK</v>
      </c>
      <c r="I82" s="43">
        <f>IF(tbl_Reorder_Optimization[[#This Row],[Action]]="Sufficient_stock",0,1)</f>
        <v>0</v>
      </c>
    </row>
    <row r="83" spans="1:9" x14ac:dyDescent="0.3">
      <c r="A83" s="3" t="s">
        <v>1218</v>
      </c>
      <c r="B83" s="9">
        <f>_xlfn.XLOOKUP(A83,tbl_Demand_Analysis[Product_ID],tbl_Demand_Analysis[Avg_Daily_Demand])</f>
        <v>42.25</v>
      </c>
      <c r="C83" s="1" cm="1">
        <f t="array" ref="C83">_xlfn.XLOOKUP(A83,tbl_Demand_Analysis[Product_ID], tbl_Products[Lead_Time_(Days)])</f>
        <v>8</v>
      </c>
      <c r="D83" s="9">
        <f>(_xlfn.XLOOKUP(A83, tbl_Demand_Analysis[Product_ID], tbl_Demand_Analysis[Max_Daily_Demand]) - B83) * C83</f>
        <v>222</v>
      </c>
      <c r="E83" s="1">
        <f t="shared" si="4"/>
        <v>560</v>
      </c>
      <c r="F83" s="1">
        <f>_xlfn.XLOOKUP(A83,tbl_Inventory_Status[Product_ID], tbl_Inventory_Status[Current_Stock])</f>
        <v>254</v>
      </c>
      <c r="G83" s="9">
        <f>SQRT((2*(B83*365)*_xlfn.XLOOKUP(A83,tbl_Products[Product_ID],tbl_Products[Order_Cost_per_Unit]))/(_xlfn.XLOOKUP(A83,tbl_Products[Product_ID], tbl_Products[Holding_Cost_per_Unit(Monthly)])*12))</f>
        <v>324.00669804123936</v>
      </c>
      <c r="H83" s="20" t="str">
        <f t="shared" si="3"/>
        <v>REORDER</v>
      </c>
      <c r="I83" s="43">
        <f>IF(tbl_Reorder_Optimization[[#This Row],[Action]]="Sufficient_stock",0,1)</f>
        <v>1</v>
      </c>
    </row>
    <row r="84" spans="1:9" x14ac:dyDescent="0.3">
      <c r="A84" s="3" t="s">
        <v>1219</v>
      </c>
      <c r="B84" s="9">
        <f>_xlfn.XLOOKUP(A84,tbl_Demand_Analysis[Product_ID],tbl_Demand_Analysis[Avg_Daily_Demand])</f>
        <v>41.166666666666664</v>
      </c>
      <c r="C84" s="1" cm="1">
        <f t="array" ref="C84">_xlfn.XLOOKUP(A84,tbl_Demand_Analysis[Product_ID], tbl_Products[Lead_Time_(Days)])</f>
        <v>3</v>
      </c>
      <c r="D84" s="9">
        <f>(_xlfn.XLOOKUP(A84, tbl_Demand_Analysis[Product_ID], tbl_Demand_Analysis[Max_Daily_Demand]) - B84) * C84</f>
        <v>62.500000000000007</v>
      </c>
      <c r="E84" s="1">
        <f t="shared" si="4"/>
        <v>186</v>
      </c>
      <c r="F84" s="1">
        <f>_xlfn.XLOOKUP(A84,tbl_Inventory_Status[Product_ID], tbl_Inventory_Status[Current_Stock])</f>
        <v>718</v>
      </c>
      <c r="G84" s="9">
        <f>SQRT((2*(B84*365)*_xlfn.XLOOKUP(A84,tbl_Products[Product_ID],tbl_Products[Order_Cost_per_Unit]))/(_xlfn.XLOOKUP(A84,tbl_Products[Product_ID], tbl_Products[Holding_Cost_per_Unit(Monthly)])*12))</f>
        <v>534.98256906776805</v>
      </c>
      <c r="H84" s="20" t="str">
        <f t="shared" si="3"/>
        <v>SUFFICIENT_STOCK</v>
      </c>
      <c r="I84" s="43">
        <f>IF(tbl_Reorder_Optimization[[#This Row],[Action]]="Sufficient_stock",0,1)</f>
        <v>0</v>
      </c>
    </row>
    <row r="85" spans="1:9" x14ac:dyDescent="0.3">
      <c r="A85" s="3" t="s">
        <v>1220</v>
      </c>
      <c r="B85" s="9">
        <f>_xlfn.XLOOKUP(A85,tbl_Demand_Analysis[Product_ID],tbl_Demand_Analysis[Avg_Daily_Demand])</f>
        <v>70</v>
      </c>
      <c r="C85" s="1" cm="1">
        <f t="array" ref="C85">_xlfn.XLOOKUP(A85,tbl_Demand_Analysis[Product_ID], tbl_Products[Lead_Time_(Days)])</f>
        <v>5</v>
      </c>
      <c r="D85" s="9">
        <f>(_xlfn.XLOOKUP(A85, tbl_Demand_Analysis[Product_ID], tbl_Demand_Analysis[Max_Daily_Demand]) - B85) * C85</f>
        <v>95</v>
      </c>
      <c r="E85" s="1">
        <f t="shared" si="4"/>
        <v>445</v>
      </c>
      <c r="F85" s="1">
        <f>_xlfn.XLOOKUP(A85,tbl_Inventory_Status[Product_ID], tbl_Inventory_Status[Current_Stock])</f>
        <v>323</v>
      </c>
      <c r="G85" s="9">
        <f>SQRT((2*(B85*365)*_xlfn.XLOOKUP(A85,tbl_Products[Product_ID],tbl_Products[Order_Cost_per_Unit]))/(_xlfn.XLOOKUP(A85,tbl_Products[Product_ID], tbl_Products[Holding_Cost_per_Unit(Monthly)])*12))</f>
        <v>693.38270088925151</v>
      </c>
      <c r="H85" s="20" t="str">
        <f t="shared" si="3"/>
        <v>REORDER</v>
      </c>
      <c r="I85" s="43">
        <f>IF(tbl_Reorder_Optimization[[#This Row],[Action]]="Sufficient_stock",0,1)</f>
        <v>1</v>
      </c>
    </row>
    <row r="86" spans="1:9" x14ac:dyDescent="0.3">
      <c r="A86" s="3" t="s">
        <v>1221</v>
      </c>
      <c r="B86" s="9">
        <f>_xlfn.XLOOKUP(A86,tbl_Demand_Analysis[Product_ID],tbl_Demand_Analysis[Avg_Daily_Demand])</f>
        <v>0</v>
      </c>
      <c r="C86" s="1" cm="1">
        <f t="array" ref="C86">_xlfn.XLOOKUP(A86,tbl_Demand_Analysis[Product_ID], tbl_Products[Lead_Time_(Days)])</f>
        <v>6</v>
      </c>
      <c r="D86" s="9">
        <f>(_xlfn.XLOOKUP(A86, tbl_Demand_Analysis[Product_ID], tbl_Demand_Analysis[Max_Daily_Demand]) - B86) * C86</f>
        <v>0</v>
      </c>
      <c r="E86" s="1">
        <f t="shared" si="4"/>
        <v>0</v>
      </c>
      <c r="F86" s="1">
        <f>_xlfn.XLOOKUP(A86,tbl_Inventory_Status[Product_ID], tbl_Inventory_Status[Current_Stock])</f>
        <v>691</v>
      </c>
      <c r="G86" s="9">
        <f>SQRT((2*(B86*365)*_xlfn.XLOOKUP(A86,tbl_Products[Product_ID],tbl_Products[Order_Cost_per_Unit]))/(_xlfn.XLOOKUP(A86,tbl_Products[Product_ID], tbl_Products[Holding_Cost_per_Unit(Monthly)])*12))</f>
        <v>0</v>
      </c>
      <c r="H86" s="20" t="str">
        <f t="shared" si="3"/>
        <v>SUFFICIENT_STOCK</v>
      </c>
      <c r="I86" s="43">
        <f>IF(tbl_Reorder_Optimization[[#This Row],[Action]]="Sufficient_stock",0,1)</f>
        <v>0</v>
      </c>
    </row>
    <row r="87" spans="1:9" x14ac:dyDescent="0.3">
      <c r="A87" s="3" t="s">
        <v>1222</v>
      </c>
      <c r="B87" s="9">
        <f>_xlfn.XLOOKUP(A87,tbl_Demand_Analysis[Product_ID],tbl_Demand_Analysis[Avg_Daily_Demand])</f>
        <v>53.8</v>
      </c>
      <c r="C87" s="1" cm="1">
        <f t="array" ref="C87">_xlfn.XLOOKUP(A87,tbl_Demand_Analysis[Product_ID], tbl_Products[Lead_Time_(Days)])</f>
        <v>6</v>
      </c>
      <c r="D87" s="9">
        <f>(_xlfn.XLOOKUP(A87, tbl_Demand_Analysis[Product_ID], tbl_Demand_Analysis[Max_Daily_Demand]) - B87) * C87</f>
        <v>181.20000000000002</v>
      </c>
      <c r="E87" s="1">
        <f t="shared" si="4"/>
        <v>504</v>
      </c>
      <c r="F87" s="1">
        <f>_xlfn.XLOOKUP(A87,tbl_Inventory_Status[Product_ID], tbl_Inventory_Status[Current_Stock])</f>
        <v>288</v>
      </c>
      <c r="G87" s="9">
        <f>SQRT((2*(B87*365)*_xlfn.XLOOKUP(A87,tbl_Products[Product_ID],tbl_Products[Order_Cost_per_Unit]))/(_xlfn.XLOOKUP(A87,tbl_Products[Product_ID], tbl_Products[Holding_Cost_per_Unit(Monthly)])*12))</f>
        <v>308.17301977792863</v>
      </c>
      <c r="H87" s="20" t="str">
        <f t="shared" si="3"/>
        <v>REORDER</v>
      </c>
      <c r="I87" s="43">
        <f>IF(tbl_Reorder_Optimization[[#This Row],[Action]]="Sufficient_stock",0,1)</f>
        <v>1</v>
      </c>
    </row>
    <row r="88" spans="1:9" x14ac:dyDescent="0.3">
      <c r="A88" s="3" t="s">
        <v>1223</v>
      </c>
      <c r="B88" s="9">
        <f>_xlfn.XLOOKUP(A88,tbl_Demand_Analysis[Product_ID],tbl_Demand_Analysis[Avg_Daily_Demand])</f>
        <v>68.333333333333329</v>
      </c>
      <c r="C88" s="1" cm="1">
        <f t="array" ref="C88">_xlfn.XLOOKUP(A88,tbl_Demand_Analysis[Product_ID], tbl_Products[Lead_Time_(Days)])</f>
        <v>5</v>
      </c>
      <c r="D88" s="9">
        <f>(_xlfn.XLOOKUP(A88, tbl_Demand_Analysis[Product_ID], tbl_Demand_Analysis[Max_Daily_Demand]) - B88) * C88</f>
        <v>138.33333333333337</v>
      </c>
      <c r="E88" s="1">
        <f t="shared" si="4"/>
        <v>480</v>
      </c>
      <c r="F88" s="1">
        <f>_xlfn.XLOOKUP(A88,tbl_Inventory_Status[Product_ID], tbl_Inventory_Status[Current_Stock])</f>
        <v>314</v>
      </c>
      <c r="G88" s="9">
        <f>SQRT((2*(B88*365)*_xlfn.XLOOKUP(A88,tbl_Products[Product_ID],tbl_Products[Order_Cost_per_Unit]))/(_xlfn.XLOOKUP(A88,tbl_Products[Product_ID], tbl_Products[Holding_Cost_per_Unit(Monthly)])*12))</f>
        <v>689.26001267980507</v>
      </c>
      <c r="H88" s="20" t="str">
        <f t="shared" si="3"/>
        <v>REORDER</v>
      </c>
      <c r="I88" s="43">
        <f>IF(tbl_Reorder_Optimization[[#This Row],[Action]]="Sufficient_stock",0,1)</f>
        <v>1</v>
      </c>
    </row>
    <row r="89" spans="1:9" x14ac:dyDescent="0.3">
      <c r="A89" s="3" t="s">
        <v>1224</v>
      </c>
      <c r="B89" s="9">
        <f>_xlfn.XLOOKUP(A89,tbl_Demand_Analysis[Product_ID],tbl_Demand_Analysis[Avg_Daily_Demand])</f>
        <v>65</v>
      </c>
      <c r="C89" s="1" cm="1">
        <f t="array" ref="C89">_xlfn.XLOOKUP(A89,tbl_Demand_Analysis[Product_ID], tbl_Products[Lead_Time_(Days)])</f>
        <v>7</v>
      </c>
      <c r="D89" s="9">
        <f>(_xlfn.XLOOKUP(A89, tbl_Demand_Analysis[Product_ID], tbl_Demand_Analysis[Max_Daily_Demand]) - B89) * C89</f>
        <v>210</v>
      </c>
      <c r="E89" s="1">
        <f t="shared" si="4"/>
        <v>665</v>
      </c>
      <c r="F89" s="1">
        <f>_xlfn.XLOOKUP(A89,tbl_Inventory_Status[Product_ID], tbl_Inventory_Status[Current_Stock])</f>
        <v>235</v>
      </c>
      <c r="G89" s="9">
        <f>SQRT((2*(B89*365)*_xlfn.XLOOKUP(A89,tbl_Products[Product_ID],tbl_Products[Order_Cost_per_Unit]))/(_xlfn.XLOOKUP(A89,tbl_Products[Product_ID], tbl_Products[Holding_Cost_per_Unit(Monthly)])*12))</f>
        <v>354.5732959801432</v>
      </c>
      <c r="H89" s="20" t="str">
        <f t="shared" si="3"/>
        <v>REORDER</v>
      </c>
      <c r="I89" s="43">
        <f>IF(tbl_Reorder_Optimization[[#This Row],[Action]]="Sufficient_stock",0,1)</f>
        <v>1</v>
      </c>
    </row>
    <row r="90" spans="1:9" x14ac:dyDescent="0.3">
      <c r="A90" s="3" t="s">
        <v>1225</v>
      </c>
      <c r="B90" s="9">
        <f>_xlfn.XLOOKUP(A90,tbl_Demand_Analysis[Product_ID],tbl_Demand_Analysis[Avg_Daily_Demand])</f>
        <v>56.6</v>
      </c>
      <c r="C90" s="1" cm="1">
        <f t="array" ref="C90">_xlfn.XLOOKUP(A90,tbl_Demand_Analysis[Product_ID], tbl_Products[Lead_Time_(Days)])</f>
        <v>3</v>
      </c>
      <c r="D90" s="9">
        <f>(_xlfn.XLOOKUP(A90, tbl_Demand_Analysis[Product_ID], tbl_Demand_Analysis[Max_Daily_Demand]) - B90) * C90</f>
        <v>94.199999999999989</v>
      </c>
      <c r="E90" s="1">
        <f t="shared" si="4"/>
        <v>264</v>
      </c>
      <c r="F90" s="1">
        <f>_xlfn.XLOOKUP(A90,tbl_Inventory_Status[Product_ID], tbl_Inventory_Status[Current_Stock])</f>
        <v>294</v>
      </c>
      <c r="G90" s="9">
        <f>SQRT((2*(B90*365)*_xlfn.XLOOKUP(A90,tbl_Products[Product_ID],tbl_Products[Order_Cost_per_Unit]))/(_xlfn.XLOOKUP(A90,tbl_Products[Product_ID], tbl_Products[Holding_Cost_per_Unit(Monthly)])*12))</f>
        <v>757.53621108902189</v>
      </c>
      <c r="H90" s="20" t="str">
        <f t="shared" si="3"/>
        <v>SUFFICIENT_STOCK</v>
      </c>
      <c r="I90" s="43">
        <f>IF(tbl_Reorder_Optimization[[#This Row],[Action]]="Sufficient_stock",0,1)</f>
        <v>0</v>
      </c>
    </row>
    <row r="91" spans="1:9" x14ac:dyDescent="0.3">
      <c r="A91" s="3" t="s">
        <v>1226</v>
      </c>
      <c r="B91" s="9">
        <f>_xlfn.XLOOKUP(A91,tbl_Demand_Analysis[Product_ID],tbl_Demand_Analysis[Avg_Daily_Demand])</f>
        <v>63.333333333333336</v>
      </c>
      <c r="C91" s="1" cm="1">
        <f t="array" ref="C91">_xlfn.XLOOKUP(A91,tbl_Demand_Analysis[Product_ID], tbl_Products[Lead_Time_(Days)])</f>
        <v>6</v>
      </c>
      <c r="D91" s="9">
        <f>(_xlfn.XLOOKUP(A91, tbl_Demand_Analysis[Product_ID], tbl_Demand_Analysis[Max_Daily_Demand]) - B91) * C91</f>
        <v>154</v>
      </c>
      <c r="E91" s="1">
        <f t="shared" si="4"/>
        <v>534</v>
      </c>
      <c r="F91" s="1">
        <f>_xlfn.XLOOKUP(A91,tbl_Inventory_Status[Product_ID], tbl_Inventory_Status[Current_Stock])</f>
        <v>325</v>
      </c>
      <c r="G91" s="9">
        <f>SQRT((2*(B91*365)*_xlfn.XLOOKUP(A91,tbl_Products[Product_ID],tbl_Products[Order_Cost_per_Unit]))/(_xlfn.XLOOKUP(A91,tbl_Products[Product_ID], tbl_Products[Holding_Cost_per_Unit(Monthly)])*12))</f>
        <v>435.17102727033415</v>
      </c>
      <c r="H91" s="20" t="str">
        <f t="shared" si="3"/>
        <v>REORDER</v>
      </c>
      <c r="I91" s="43">
        <f>IF(tbl_Reorder_Optimization[[#This Row],[Action]]="Sufficient_stock",0,1)</f>
        <v>1</v>
      </c>
    </row>
    <row r="92" spans="1:9" x14ac:dyDescent="0.3">
      <c r="A92" s="3" t="s">
        <v>1227</v>
      </c>
      <c r="B92" s="9">
        <f>_xlfn.XLOOKUP(A92,tbl_Demand_Analysis[Product_ID],tbl_Demand_Analysis[Avg_Daily_Demand])</f>
        <v>48.333333333333336</v>
      </c>
      <c r="C92" s="1" cm="1">
        <f t="array" ref="C92">_xlfn.XLOOKUP(A92,tbl_Demand_Analysis[Product_ID], tbl_Products[Lead_Time_(Days)])</f>
        <v>2</v>
      </c>
      <c r="D92" s="9">
        <f>(_xlfn.XLOOKUP(A92, tbl_Demand_Analysis[Product_ID], tbl_Demand_Analysis[Max_Daily_Demand]) - B92) * C92</f>
        <v>27.333333333333329</v>
      </c>
      <c r="E92" s="1">
        <f t="shared" si="4"/>
        <v>124</v>
      </c>
      <c r="F92" s="1">
        <f>_xlfn.XLOOKUP(A92,tbl_Inventory_Status[Product_ID], tbl_Inventory_Status[Current_Stock])</f>
        <v>410</v>
      </c>
      <c r="G92" s="9">
        <f>SQRT((2*(B92*365)*_xlfn.XLOOKUP(A92,tbl_Products[Product_ID],tbl_Products[Order_Cost_per_Unit]))/(_xlfn.XLOOKUP(A92,tbl_Products[Product_ID], tbl_Products[Holding_Cost_per_Unit(Monthly)])*12))</f>
        <v>613.47824375079153</v>
      </c>
      <c r="H92" s="20" t="str">
        <f t="shared" si="3"/>
        <v>SUFFICIENT_STOCK</v>
      </c>
      <c r="I92" s="43">
        <f>IF(tbl_Reorder_Optimization[[#This Row],[Action]]="Sufficient_stock",0,1)</f>
        <v>0</v>
      </c>
    </row>
    <row r="93" spans="1:9" x14ac:dyDescent="0.3">
      <c r="A93" s="3" t="s">
        <v>1228</v>
      </c>
      <c r="B93" s="9">
        <f>_xlfn.XLOOKUP(A93,tbl_Demand_Analysis[Product_ID],tbl_Demand_Analysis[Avg_Daily_Demand])</f>
        <v>67.333333333333329</v>
      </c>
      <c r="C93" s="1" cm="1">
        <f t="array" ref="C93">_xlfn.XLOOKUP(A93,tbl_Demand_Analysis[Product_ID], tbl_Products[Lead_Time_(Days)])</f>
        <v>7</v>
      </c>
      <c r="D93" s="9">
        <f>(_xlfn.XLOOKUP(A93, tbl_Demand_Analysis[Product_ID], tbl_Demand_Analysis[Max_Daily_Demand]) - B93) * C93</f>
        <v>221.66666666666669</v>
      </c>
      <c r="E93" s="1">
        <f t="shared" si="4"/>
        <v>693</v>
      </c>
      <c r="F93" s="1">
        <f>_xlfn.XLOOKUP(A93,tbl_Inventory_Status[Product_ID], tbl_Inventory_Status[Current_Stock])</f>
        <v>336</v>
      </c>
      <c r="G93" s="9">
        <f>SQRT((2*(B93*365)*_xlfn.XLOOKUP(A93,tbl_Products[Product_ID],tbl_Products[Order_Cost_per_Unit]))/(_xlfn.XLOOKUP(A93,tbl_Products[Product_ID], tbl_Products[Holding_Cost_per_Unit(Monthly)])*12))</f>
        <v>455.08981703948695</v>
      </c>
      <c r="H93" s="20" t="str">
        <f t="shared" si="3"/>
        <v>REORDER</v>
      </c>
      <c r="I93" s="43">
        <f>IF(tbl_Reorder_Optimization[[#This Row],[Action]]="Sufficient_stock",0,1)</f>
        <v>1</v>
      </c>
    </row>
    <row r="94" spans="1:9" x14ac:dyDescent="0.3">
      <c r="A94" s="3" t="s">
        <v>1229</v>
      </c>
      <c r="B94" s="9">
        <f>_xlfn.XLOOKUP(A94,tbl_Demand_Analysis[Product_ID],tbl_Demand_Analysis[Avg_Daily_Demand])</f>
        <v>40.428571428571431</v>
      </c>
      <c r="C94" s="1" cm="1">
        <f t="array" ref="C94">_xlfn.XLOOKUP(A94,tbl_Demand_Analysis[Product_ID], tbl_Products[Lead_Time_(Days)])</f>
        <v>9</v>
      </c>
      <c r="D94" s="9">
        <f>(_xlfn.XLOOKUP(A94, tbl_Demand_Analysis[Product_ID], tbl_Demand_Analysis[Max_Daily_Demand]) - B94) * C94</f>
        <v>347.14285714285711</v>
      </c>
      <c r="E94" s="1">
        <f t="shared" si="4"/>
        <v>711</v>
      </c>
      <c r="F94" s="1">
        <f>_xlfn.XLOOKUP(A94,tbl_Inventory_Status[Product_ID], tbl_Inventory_Status[Current_Stock])</f>
        <v>0</v>
      </c>
      <c r="G94" s="9">
        <f>SQRT((2*(B94*365)*_xlfn.XLOOKUP(A94,tbl_Products[Product_ID],tbl_Products[Order_Cost_per_Unit]))/(_xlfn.XLOOKUP(A94,tbl_Products[Product_ID], tbl_Products[Holding_Cost_per_Unit(Monthly)])*12))</f>
        <v>452.71447605018864</v>
      </c>
      <c r="H94" s="20" t="str">
        <f t="shared" si="3"/>
        <v>REORDER</v>
      </c>
      <c r="I94" s="43">
        <f>IF(tbl_Reorder_Optimization[[#This Row],[Action]]="Sufficient_stock",0,1)</f>
        <v>1</v>
      </c>
    </row>
    <row r="95" spans="1:9" x14ac:dyDescent="0.3">
      <c r="A95" s="3" t="s">
        <v>1230</v>
      </c>
      <c r="B95" s="9">
        <f>_xlfn.XLOOKUP(A95,tbl_Demand_Analysis[Product_ID],tbl_Demand_Analysis[Avg_Daily_Demand])</f>
        <v>55.8</v>
      </c>
      <c r="C95" s="1" cm="1">
        <f t="array" ref="C95">_xlfn.XLOOKUP(A95,tbl_Demand_Analysis[Product_ID], tbl_Products[Lead_Time_(Days)])</f>
        <v>4</v>
      </c>
      <c r="D95" s="9">
        <f>(_xlfn.XLOOKUP(A95, tbl_Demand_Analysis[Product_ID], tbl_Demand_Analysis[Max_Daily_Demand]) - B95) * C95</f>
        <v>112.80000000000001</v>
      </c>
      <c r="E95" s="1">
        <f t="shared" si="4"/>
        <v>336</v>
      </c>
      <c r="F95" s="1">
        <f>_xlfn.XLOOKUP(A95,tbl_Inventory_Status[Product_ID], tbl_Inventory_Status[Current_Stock])</f>
        <v>218</v>
      </c>
      <c r="G95" s="9">
        <f>SQRT((2*(B95*365)*_xlfn.XLOOKUP(A95,tbl_Products[Product_ID],tbl_Products[Order_Cost_per_Unit]))/(_xlfn.XLOOKUP(A95,tbl_Products[Product_ID], tbl_Products[Holding_Cost_per_Unit(Monthly)])*12))</f>
        <v>544.99426602488211</v>
      </c>
      <c r="H95" s="20" t="str">
        <f t="shared" si="3"/>
        <v>REORDER</v>
      </c>
      <c r="I95" s="43">
        <f>IF(tbl_Reorder_Optimization[[#This Row],[Action]]="Sufficient_stock",0,1)</f>
        <v>1</v>
      </c>
    </row>
    <row r="96" spans="1:9" x14ac:dyDescent="0.3">
      <c r="A96" s="3" t="s">
        <v>1231</v>
      </c>
      <c r="B96" s="9">
        <f>_xlfn.XLOOKUP(A96,tbl_Demand_Analysis[Product_ID],tbl_Demand_Analysis[Avg_Daily_Demand])</f>
        <v>51.25</v>
      </c>
      <c r="C96" s="1" cm="1">
        <f t="array" ref="C96">_xlfn.XLOOKUP(A96,tbl_Demand_Analysis[Product_ID], tbl_Products[Lead_Time_(Days)])</f>
        <v>4</v>
      </c>
      <c r="D96" s="9">
        <f>(_xlfn.XLOOKUP(A96, tbl_Demand_Analysis[Product_ID], tbl_Demand_Analysis[Max_Daily_Demand]) - B96) * C96</f>
        <v>171</v>
      </c>
      <c r="E96" s="1">
        <f t="shared" si="4"/>
        <v>376</v>
      </c>
      <c r="F96" s="1">
        <f>_xlfn.XLOOKUP(A96,tbl_Inventory_Status[Product_ID], tbl_Inventory_Status[Current_Stock])</f>
        <v>973</v>
      </c>
      <c r="G96" s="9">
        <f>SQRT((2*(B96*365)*_xlfn.XLOOKUP(A96,tbl_Products[Product_ID],tbl_Products[Order_Cost_per_Unit]))/(_xlfn.XLOOKUP(A96,tbl_Products[Product_ID], tbl_Products[Holding_Cost_per_Unit(Monthly)])*12))</f>
        <v>639.16140281667094</v>
      </c>
      <c r="H96" s="20" t="str">
        <f t="shared" si="3"/>
        <v>SUFFICIENT_STOCK</v>
      </c>
      <c r="I96" s="43">
        <f>IF(tbl_Reorder_Optimization[[#This Row],[Action]]="Sufficient_stock",0,1)</f>
        <v>0</v>
      </c>
    </row>
    <row r="97" spans="1:9" x14ac:dyDescent="0.3">
      <c r="A97" s="3" t="s">
        <v>1232</v>
      </c>
      <c r="B97" s="9">
        <f>_xlfn.XLOOKUP(A97,tbl_Demand_Analysis[Product_ID],tbl_Demand_Analysis[Avg_Daily_Demand])</f>
        <v>81.666666666666671</v>
      </c>
      <c r="C97" s="1" cm="1">
        <f t="array" ref="C97">_xlfn.XLOOKUP(A97,tbl_Demand_Analysis[Product_ID], tbl_Products[Lead_Time_(Days)])</f>
        <v>5</v>
      </c>
      <c r="D97" s="9">
        <f>(_xlfn.XLOOKUP(A97, tbl_Demand_Analysis[Product_ID], tbl_Demand_Analysis[Max_Daily_Demand]) - B97) * C97</f>
        <v>46.666666666666643</v>
      </c>
      <c r="E97" s="1">
        <f t="shared" si="4"/>
        <v>455</v>
      </c>
      <c r="F97" s="1">
        <f>_xlfn.XLOOKUP(A97,tbl_Inventory_Status[Product_ID], tbl_Inventory_Status[Current_Stock])</f>
        <v>493</v>
      </c>
      <c r="G97" s="9">
        <f>SQRT((2*(B97*365)*_xlfn.XLOOKUP(A97,tbl_Products[Product_ID],tbl_Products[Order_Cost_per_Unit]))/(_xlfn.XLOOKUP(A97,tbl_Products[Product_ID], tbl_Products[Holding_Cost_per_Unit(Monthly)])*12))</f>
        <v>788.03993835620065</v>
      </c>
      <c r="H97" s="20" t="str">
        <f t="shared" si="3"/>
        <v>SUFFICIENT_STOCK</v>
      </c>
      <c r="I97" s="43">
        <f>IF(tbl_Reorder_Optimization[[#This Row],[Action]]="Sufficient_stock",0,1)</f>
        <v>0</v>
      </c>
    </row>
    <row r="98" spans="1:9" x14ac:dyDescent="0.3">
      <c r="A98" s="3" t="s">
        <v>1233</v>
      </c>
      <c r="B98" s="9">
        <f>_xlfn.XLOOKUP(A98,tbl_Demand_Analysis[Product_ID],tbl_Demand_Analysis[Avg_Daily_Demand])</f>
        <v>48.166666666666664</v>
      </c>
      <c r="C98" s="1" cm="1">
        <f t="array" ref="C98">_xlfn.XLOOKUP(A98,tbl_Demand_Analysis[Product_ID], tbl_Products[Lead_Time_(Days)])</f>
        <v>3</v>
      </c>
      <c r="D98" s="9">
        <f>(_xlfn.XLOOKUP(A98, tbl_Demand_Analysis[Product_ID], tbl_Demand_Analysis[Max_Daily_Demand]) - B98) * C98</f>
        <v>149.5</v>
      </c>
      <c r="E98" s="1">
        <f t="shared" si="4"/>
        <v>294</v>
      </c>
      <c r="F98" s="1">
        <f>_xlfn.XLOOKUP(A98,tbl_Inventory_Status[Product_ID], tbl_Inventory_Status[Current_Stock])</f>
        <v>528</v>
      </c>
      <c r="G98" s="9">
        <f>SQRT((2*(B98*365)*_xlfn.XLOOKUP(A98,tbl_Products[Product_ID],tbl_Products[Order_Cost_per_Unit]))/(_xlfn.XLOOKUP(A98,tbl_Products[Product_ID], tbl_Products[Holding_Cost_per_Unit(Monthly)])*12))</f>
        <v>682.75798025065922</v>
      </c>
      <c r="H98" s="20" t="str">
        <f t="shared" ref="H98:H122" si="5">IF(F98&lt;=E98,"REORDER","SUFFICIENT_STOCK")</f>
        <v>SUFFICIENT_STOCK</v>
      </c>
      <c r="I98" s="43">
        <f>IF(tbl_Reorder_Optimization[[#This Row],[Action]]="Sufficient_stock",0,1)</f>
        <v>0</v>
      </c>
    </row>
    <row r="99" spans="1:9" x14ac:dyDescent="0.3">
      <c r="A99" s="3" t="s">
        <v>1234</v>
      </c>
      <c r="B99" s="9">
        <f>_xlfn.XLOOKUP(A99,tbl_Demand_Analysis[Product_ID],tbl_Demand_Analysis[Avg_Daily_Demand])</f>
        <v>57</v>
      </c>
      <c r="C99" s="1" cm="1">
        <f t="array" ref="C99">_xlfn.XLOOKUP(A99,tbl_Demand_Analysis[Product_ID], tbl_Products[Lead_Time_(Days)])</f>
        <v>3</v>
      </c>
      <c r="D99" s="9">
        <f>(_xlfn.XLOOKUP(A99, tbl_Demand_Analysis[Product_ID], tbl_Demand_Analysis[Max_Daily_Demand]) - B99) * C99</f>
        <v>99</v>
      </c>
      <c r="E99" s="1">
        <f t="shared" si="4"/>
        <v>270</v>
      </c>
      <c r="F99" s="1">
        <f>_xlfn.XLOOKUP(A99,tbl_Inventory_Status[Product_ID], tbl_Inventory_Status[Current_Stock])</f>
        <v>383</v>
      </c>
      <c r="G99" s="9">
        <f>SQRT((2*(B99*365)*_xlfn.XLOOKUP(A99,tbl_Products[Product_ID],tbl_Products[Order_Cost_per_Unit]))/(_xlfn.XLOOKUP(A99,tbl_Products[Product_ID], tbl_Products[Holding_Cost_per_Unit(Monthly)])*12))</f>
        <v>519.32113806819416</v>
      </c>
      <c r="H99" s="20" t="str">
        <f t="shared" si="5"/>
        <v>SUFFICIENT_STOCK</v>
      </c>
      <c r="I99" s="43">
        <f>IF(tbl_Reorder_Optimization[[#This Row],[Action]]="Sufficient_stock",0,1)</f>
        <v>0</v>
      </c>
    </row>
    <row r="100" spans="1:9" x14ac:dyDescent="0.3">
      <c r="A100" s="3" t="s">
        <v>1235</v>
      </c>
      <c r="B100" s="9">
        <f>_xlfn.XLOOKUP(A100,tbl_Demand_Analysis[Product_ID],tbl_Demand_Analysis[Avg_Daily_Demand])</f>
        <v>45.666666666666664</v>
      </c>
      <c r="C100" s="1" cm="1">
        <f t="array" ref="C100">_xlfn.XLOOKUP(A100,tbl_Demand_Analysis[Product_ID], tbl_Products[Lead_Time_(Days)])</f>
        <v>2</v>
      </c>
      <c r="D100" s="9">
        <f>(_xlfn.XLOOKUP(A100, tbl_Demand_Analysis[Product_ID], tbl_Demand_Analysis[Max_Daily_Demand]) - B100) * C100</f>
        <v>14.666666666666671</v>
      </c>
      <c r="E100" s="1">
        <f t="shared" si="4"/>
        <v>106</v>
      </c>
      <c r="F100" s="1">
        <f>_xlfn.XLOOKUP(A100,tbl_Inventory_Status[Product_ID], tbl_Inventory_Status[Current_Stock])</f>
        <v>684</v>
      </c>
      <c r="G100" s="9">
        <f>SQRT((2*(B100*365)*_xlfn.XLOOKUP(A100,tbl_Products[Product_ID],tbl_Products[Order_Cost_per_Unit]))/(_xlfn.XLOOKUP(A100,tbl_Products[Product_ID], tbl_Products[Holding_Cost_per_Unit(Monthly)])*12))</f>
        <v>464.26155677963288</v>
      </c>
      <c r="H100" s="20" t="str">
        <f t="shared" si="5"/>
        <v>SUFFICIENT_STOCK</v>
      </c>
      <c r="I100" s="43">
        <f>IF(tbl_Reorder_Optimization[[#This Row],[Action]]="Sufficient_stock",0,1)</f>
        <v>0</v>
      </c>
    </row>
    <row r="101" spans="1:9" x14ac:dyDescent="0.3">
      <c r="A101" s="3" t="s">
        <v>1236</v>
      </c>
      <c r="B101" s="9">
        <f>_xlfn.XLOOKUP(A101,tbl_Demand_Analysis[Product_ID],tbl_Demand_Analysis[Avg_Daily_Demand])</f>
        <v>56.5</v>
      </c>
      <c r="C101" s="1" cm="1">
        <f t="array" ref="C101">_xlfn.XLOOKUP(A101,tbl_Demand_Analysis[Product_ID], tbl_Products[Lead_Time_(Days)])</f>
        <v>5</v>
      </c>
      <c r="D101" s="9">
        <f>(_xlfn.XLOOKUP(A101, tbl_Demand_Analysis[Product_ID], tbl_Demand_Analysis[Max_Daily_Demand]) - B101) * C101</f>
        <v>32.5</v>
      </c>
      <c r="E101" s="1">
        <f t="shared" si="4"/>
        <v>315</v>
      </c>
      <c r="F101" s="1">
        <f>_xlfn.XLOOKUP(A101,tbl_Inventory_Status[Product_ID], tbl_Inventory_Status[Current_Stock])</f>
        <v>379</v>
      </c>
      <c r="G101" s="9">
        <f>SQRT((2*(B101*365)*_xlfn.XLOOKUP(A101,tbl_Products[Product_ID],tbl_Products[Order_Cost_per_Unit]))/(_xlfn.XLOOKUP(A101,tbl_Products[Product_ID], tbl_Products[Holding_Cost_per_Unit(Monthly)])*12))</f>
        <v>829.1059441752102</v>
      </c>
      <c r="H101" s="20" t="str">
        <f t="shared" si="5"/>
        <v>SUFFICIENT_STOCK</v>
      </c>
      <c r="I101" s="43">
        <f>IF(tbl_Reorder_Optimization[[#This Row],[Action]]="Sufficient_stock",0,1)</f>
        <v>0</v>
      </c>
    </row>
    <row r="102" spans="1:9" x14ac:dyDescent="0.3">
      <c r="A102" s="3" t="s">
        <v>1237</v>
      </c>
      <c r="B102" s="9">
        <f>_xlfn.XLOOKUP(A102,tbl_Demand_Analysis[Product_ID],tbl_Demand_Analysis[Avg_Daily_Demand])</f>
        <v>18</v>
      </c>
      <c r="C102" s="1" cm="1">
        <f t="array" ref="C102">_xlfn.XLOOKUP(A102,tbl_Demand_Analysis[Product_ID], tbl_Products[Lead_Time_(Days)])</f>
        <v>8</v>
      </c>
      <c r="D102" s="9">
        <f>(_xlfn.XLOOKUP(A102, tbl_Demand_Analysis[Product_ID], tbl_Demand_Analysis[Max_Daily_Demand]) - B102) * C102</f>
        <v>0</v>
      </c>
      <c r="E102" s="1">
        <f t="shared" si="4"/>
        <v>144</v>
      </c>
      <c r="F102" s="1">
        <f>_xlfn.XLOOKUP(A102,tbl_Inventory_Status[Product_ID], tbl_Inventory_Status[Current_Stock])</f>
        <v>577</v>
      </c>
      <c r="G102" s="9">
        <f>SQRT((2*(B102*365)*_xlfn.XLOOKUP(A102,tbl_Products[Product_ID],tbl_Products[Order_Cost_per_Unit]))/(_xlfn.XLOOKUP(A102,tbl_Products[Product_ID], tbl_Products[Holding_Cost_per_Unit(Monthly)])*12))</f>
        <v>158.03064326429325</v>
      </c>
      <c r="H102" s="20" t="str">
        <f t="shared" si="5"/>
        <v>SUFFICIENT_STOCK</v>
      </c>
      <c r="I102" s="43">
        <f>IF(tbl_Reorder_Optimization[[#This Row],[Action]]="Sufficient_stock",0,1)</f>
        <v>0</v>
      </c>
    </row>
    <row r="103" spans="1:9" x14ac:dyDescent="0.3">
      <c r="A103" s="3" t="s">
        <v>1238</v>
      </c>
      <c r="B103" s="9">
        <f>_xlfn.XLOOKUP(A103,tbl_Demand_Analysis[Product_ID],tbl_Demand_Analysis[Avg_Daily_Demand])</f>
        <v>44.333333333333336</v>
      </c>
      <c r="C103" s="1" cm="1">
        <f t="array" ref="C103">_xlfn.XLOOKUP(A103,tbl_Demand_Analysis[Product_ID], tbl_Products[Lead_Time_(Days)])</f>
        <v>7</v>
      </c>
      <c r="D103" s="9">
        <f>(_xlfn.XLOOKUP(A103, tbl_Demand_Analysis[Product_ID], tbl_Demand_Analysis[Max_Daily_Demand]) - B103) * C103</f>
        <v>249.66666666666666</v>
      </c>
      <c r="E103" s="1">
        <f t="shared" si="4"/>
        <v>560</v>
      </c>
      <c r="F103" s="1">
        <f>_xlfn.XLOOKUP(A103,tbl_Inventory_Status[Product_ID], tbl_Inventory_Status[Current_Stock])</f>
        <v>441</v>
      </c>
      <c r="G103" s="9">
        <f>SQRT((2*(B103*365)*_xlfn.XLOOKUP(A103,tbl_Products[Product_ID],tbl_Products[Order_Cost_per_Unit]))/(_xlfn.XLOOKUP(A103,tbl_Products[Product_ID], tbl_Products[Holding_Cost_per_Unit(Monthly)])*12))</f>
        <v>285.54426927494501</v>
      </c>
      <c r="H103" s="20" t="str">
        <f t="shared" si="5"/>
        <v>REORDER</v>
      </c>
      <c r="I103" s="43">
        <f>IF(tbl_Reorder_Optimization[[#This Row],[Action]]="Sufficient_stock",0,1)</f>
        <v>1</v>
      </c>
    </row>
    <row r="104" spans="1:9" x14ac:dyDescent="0.3">
      <c r="A104" s="3" t="s">
        <v>1240</v>
      </c>
      <c r="B104" s="9">
        <f>_xlfn.XLOOKUP(A104,tbl_Demand_Analysis[Product_ID],tbl_Demand_Analysis[Avg_Daily_Demand])</f>
        <v>55</v>
      </c>
      <c r="C104" s="1" cm="1">
        <f t="array" ref="C104">_xlfn.XLOOKUP(A104,tbl_Demand_Analysis[Product_ID], tbl_Products[Lead_Time_(Days)])</f>
        <v>6</v>
      </c>
      <c r="D104" s="9">
        <f>(_xlfn.XLOOKUP(A104, tbl_Demand_Analysis[Product_ID], tbl_Demand_Analysis[Max_Daily_Demand]) - B104) * C104</f>
        <v>138</v>
      </c>
      <c r="E104" s="1">
        <f t="shared" si="4"/>
        <v>468</v>
      </c>
      <c r="F104" s="1">
        <f>_xlfn.XLOOKUP(A104,tbl_Inventory_Status[Product_ID], tbl_Inventory_Status[Current_Stock])</f>
        <v>709</v>
      </c>
      <c r="G104" s="9">
        <f>SQRT((2*(B104*365)*_xlfn.XLOOKUP(A104,tbl_Products[Product_ID],tbl_Products[Order_Cost_per_Unit]))/(_xlfn.XLOOKUP(A104,tbl_Products[Product_ID], tbl_Products[Holding_Cost_per_Unit(Monthly)])*12))</f>
        <v>295.61997421390328</v>
      </c>
      <c r="H104" s="20" t="str">
        <f t="shared" si="5"/>
        <v>SUFFICIENT_STOCK</v>
      </c>
      <c r="I104" s="43">
        <f>IF(tbl_Reorder_Optimization[[#This Row],[Action]]="Sufficient_stock",0,1)</f>
        <v>0</v>
      </c>
    </row>
    <row r="105" spans="1:9" x14ac:dyDescent="0.3">
      <c r="A105" s="3" t="s">
        <v>1242</v>
      </c>
      <c r="B105" s="9">
        <f>_xlfn.XLOOKUP(A105,tbl_Demand_Analysis[Product_ID],tbl_Demand_Analysis[Avg_Daily_Demand])</f>
        <v>36</v>
      </c>
      <c r="C105" s="1" cm="1">
        <f t="array" ref="C105">_xlfn.XLOOKUP(A105,tbl_Demand_Analysis[Product_ID], tbl_Products[Lead_Time_(Days)])</f>
        <v>5</v>
      </c>
      <c r="D105" s="9">
        <f>(_xlfn.XLOOKUP(A105, tbl_Demand_Analysis[Product_ID], tbl_Demand_Analysis[Max_Daily_Demand]) - B105) * C105</f>
        <v>45</v>
      </c>
      <c r="E105" s="1">
        <f t="shared" si="4"/>
        <v>225</v>
      </c>
      <c r="F105" s="1">
        <f>_xlfn.XLOOKUP(A105,tbl_Inventory_Status[Product_ID], tbl_Inventory_Status[Current_Stock])</f>
        <v>843</v>
      </c>
      <c r="G105" s="9">
        <f>SQRT((2*(B105*365)*_xlfn.XLOOKUP(A105,tbl_Products[Product_ID],tbl_Products[Order_Cost_per_Unit]))/(_xlfn.XLOOKUP(A105,tbl_Products[Product_ID], tbl_Products[Holding_Cost_per_Unit(Monthly)])*12))</f>
        <v>291.24550410602365</v>
      </c>
      <c r="H105" s="20" t="str">
        <f t="shared" si="5"/>
        <v>SUFFICIENT_STOCK</v>
      </c>
      <c r="I105" s="43">
        <f>IF(tbl_Reorder_Optimization[[#This Row],[Action]]="Sufficient_stock",0,1)</f>
        <v>0</v>
      </c>
    </row>
    <row r="106" spans="1:9" x14ac:dyDescent="0.3">
      <c r="A106" s="3" t="s">
        <v>1244</v>
      </c>
      <c r="B106" s="9">
        <f>_xlfn.XLOOKUP(A106,tbl_Demand_Analysis[Product_ID],tbl_Demand_Analysis[Avg_Daily_Demand])</f>
        <v>24</v>
      </c>
      <c r="C106" s="1" cm="1">
        <f t="array" ref="C106">_xlfn.XLOOKUP(A106,tbl_Demand_Analysis[Product_ID], tbl_Products[Lead_Time_(Days)])</f>
        <v>6</v>
      </c>
      <c r="D106" s="9">
        <f>(_xlfn.XLOOKUP(A106, tbl_Demand_Analysis[Product_ID], tbl_Demand_Analysis[Max_Daily_Demand]) - B106) * C106</f>
        <v>0</v>
      </c>
      <c r="E106" s="1">
        <f t="shared" si="4"/>
        <v>144</v>
      </c>
      <c r="F106" s="1">
        <f>_xlfn.XLOOKUP(A106,tbl_Inventory_Status[Product_ID], tbl_Inventory_Status[Current_Stock])</f>
        <v>617</v>
      </c>
      <c r="G106" s="9">
        <f>SQRT((2*(B106*365)*_xlfn.XLOOKUP(A106,tbl_Products[Product_ID],tbl_Products[Order_Cost_per_Unit]))/(_xlfn.XLOOKUP(A106,tbl_Products[Product_ID], tbl_Products[Holding_Cost_per_Unit(Monthly)])*12))</f>
        <v>226.54185512000234</v>
      </c>
      <c r="H106" s="20" t="str">
        <f t="shared" si="5"/>
        <v>SUFFICIENT_STOCK</v>
      </c>
      <c r="I106" s="43">
        <f>IF(tbl_Reorder_Optimization[[#This Row],[Action]]="Sufficient_stock",0,1)</f>
        <v>0</v>
      </c>
    </row>
    <row r="107" spans="1:9" x14ac:dyDescent="0.3">
      <c r="A107" s="3" t="s">
        <v>1246</v>
      </c>
      <c r="B107" s="9">
        <f>_xlfn.XLOOKUP(A107,tbl_Demand_Analysis[Product_ID],tbl_Demand_Analysis[Avg_Daily_Demand])</f>
        <v>48.25</v>
      </c>
      <c r="C107" s="1" cm="1">
        <f t="array" ref="C107">_xlfn.XLOOKUP(A107,tbl_Demand_Analysis[Product_ID], tbl_Products[Lead_Time_(Days)])</f>
        <v>8</v>
      </c>
      <c r="D107" s="9">
        <f>(_xlfn.XLOOKUP(A107, tbl_Demand_Analysis[Product_ID], tbl_Demand_Analysis[Max_Daily_Demand]) - B107) * C107</f>
        <v>222</v>
      </c>
      <c r="E107" s="1">
        <f t="shared" si="4"/>
        <v>608</v>
      </c>
      <c r="F107" s="1">
        <f>_xlfn.XLOOKUP(A107,tbl_Inventory_Status[Product_ID], tbl_Inventory_Status[Current_Stock])</f>
        <v>576</v>
      </c>
      <c r="G107" s="9">
        <f>SQRT((2*(B107*365)*_xlfn.XLOOKUP(A107,tbl_Products[Product_ID],tbl_Products[Order_Cost_per_Unit]))/(_xlfn.XLOOKUP(A107,tbl_Products[Product_ID], tbl_Products[Holding_Cost_per_Unit(Monthly)])*12))</f>
        <v>273.46366837172468</v>
      </c>
      <c r="H107" s="20" t="str">
        <f t="shared" si="5"/>
        <v>REORDER</v>
      </c>
      <c r="I107" s="43">
        <f>IF(tbl_Reorder_Optimization[[#This Row],[Action]]="Sufficient_stock",0,1)</f>
        <v>1</v>
      </c>
    </row>
    <row r="108" spans="1:9" x14ac:dyDescent="0.3">
      <c r="A108" s="3" t="s">
        <v>1248</v>
      </c>
      <c r="B108" s="9">
        <f>_xlfn.XLOOKUP(A108,tbl_Demand_Analysis[Product_ID],tbl_Demand_Analysis[Avg_Daily_Demand])</f>
        <v>71.666666666666671</v>
      </c>
      <c r="C108" s="1" cm="1">
        <f t="array" ref="C108">_xlfn.XLOOKUP(A108,tbl_Demand_Analysis[Product_ID], tbl_Products[Lead_Time_(Days)])</f>
        <v>4</v>
      </c>
      <c r="D108" s="9">
        <f>(_xlfn.XLOOKUP(A108, tbl_Demand_Analysis[Product_ID], tbl_Demand_Analysis[Max_Daily_Demand]) - B108) * C108</f>
        <v>105.33333333333331</v>
      </c>
      <c r="E108" s="1">
        <f t="shared" si="4"/>
        <v>392</v>
      </c>
      <c r="F108" s="1">
        <f>_xlfn.XLOOKUP(A108,tbl_Inventory_Status[Product_ID], tbl_Inventory_Status[Current_Stock])</f>
        <v>319</v>
      </c>
      <c r="G108" s="9">
        <f>SQRT((2*(B108*365)*_xlfn.XLOOKUP(A108,tbl_Products[Product_ID],tbl_Products[Order_Cost_per_Unit]))/(_xlfn.XLOOKUP(A108,tbl_Products[Product_ID], tbl_Products[Holding_Cost_per_Unit(Monthly)])*12))</f>
        <v>413.48458122483288</v>
      </c>
      <c r="H108" s="20" t="str">
        <f t="shared" si="5"/>
        <v>REORDER</v>
      </c>
      <c r="I108" s="43">
        <f>IF(tbl_Reorder_Optimization[[#This Row],[Action]]="Sufficient_stock",0,1)</f>
        <v>1</v>
      </c>
    </row>
    <row r="109" spans="1:9" x14ac:dyDescent="0.3">
      <c r="A109" s="3" t="s">
        <v>1249</v>
      </c>
      <c r="B109" s="9">
        <f>_xlfn.XLOOKUP(A109,tbl_Demand_Analysis[Product_ID],tbl_Demand_Analysis[Avg_Daily_Demand])</f>
        <v>73.166666666666671</v>
      </c>
      <c r="C109" s="1" cm="1">
        <f t="array" ref="C109">_xlfn.XLOOKUP(A109,tbl_Demand_Analysis[Product_ID], tbl_Products[Lead_Time_(Days)])</f>
        <v>5</v>
      </c>
      <c r="D109" s="9">
        <f>(_xlfn.XLOOKUP(A109, tbl_Demand_Analysis[Product_ID], tbl_Demand_Analysis[Max_Daily_Demand]) - B109) * C109</f>
        <v>124.16666666666664</v>
      </c>
      <c r="E109" s="1">
        <f t="shared" si="4"/>
        <v>490</v>
      </c>
      <c r="F109" s="1">
        <f>_xlfn.XLOOKUP(A109,tbl_Inventory_Status[Product_ID], tbl_Inventory_Status[Current_Stock])</f>
        <v>437</v>
      </c>
      <c r="G109" s="9">
        <f>SQRT((2*(B109*365)*_xlfn.XLOOKUP(A109,tbl_Products[Product_ID],tbl_Products[Order_Cost_per_Unit]))/(_xlfn.XLOOKUP(A109,tbl_Products[Product_ID], tbl_Products[Holding_Cost_per_Unit(Monthly)])*12))</f>
        <v>417.33497128909477</v>
      </c>
      <c r="H109" s="20" t="str">
        <f t="shared" si="5"/>
        <v>REORDER</v>
      </c>
      <c r="I109" s="43">
        <f>IF(tbl_Reorder_Optimization[[#This Row],[Action]]="Sufficient_stock",0,1)</f>
        <v>1</v>
      </c>
    </row>
    <row r="110" spans="1:9" x14ac:dyDescent="0.3">
      <c r="A110" s="3" t="s">
        <v>1251</v>
      </c>
      <c r="B110" s="9">
        <f>_xlfn.XLOOKUP(A110,tbl_Demand_Analysis[Product_ID],tbl_Demand_Analysis[Avg_Daily_Demand])</f>
        <v>48.25</v>
      </c>
      <c r="C110" s="1" cm="1">
        <f t="array" ref="C110">_xlfn.XLOOKUP(A110,tbl_Demand_Analysis[Product_ID], tbl_Products[Lead_Time_(Days)])</f>
        <v>6</v>
      </c>
      <c r="D110" s="9">
        <f>(_xlfn.XLOOKUP(A110, tbl_Demand_Analysis[Product_ID], tbl_Demand_Analysis[Max_Daily_Demand]) - B110) * C110</f>
        <v>304.5</v>
      </c>
      <c r="E110" s="1">
        <f t="shared" si="4"/>
        <v>594</v>
      </c>
      <c r="F110" s="1">
        <f>_xlfn.XLOOKUP(A110,tbl_Inventory_Status[Product_ID], tbl_Inventory_Status[Current_Stock])</f>
        <v>422</v>
      </c>
      <c r="G110" s="9">
        <f>SQRT((2*(B110*365)*_xlfn.XLOOKUP(A110,tbl_Products[Product_ID],tbl_Products[Order_Cost_per_Unit]))/(_xlfn.XLOOKUP(A110,tbl_Products[Product_ID], tbl_Products[Holding_Cost_per_Unit(Monthly)])*12))</f>
        <v>259.18924354057629</v>
      </c>
      <c r="H110" s="20" t="str">
        <f t="shared" si="5"/>
        <v>REORDER</v>
      </c>
      <c r="I110" s="43">
        <f>IF(tbl_Reorder_Optimization[[#This Row],[Action]]="Sufficient_stock",0,1)</f>
        <v>1</v>
      </c>
    </row>
    <row r="111" spans="1:9" x14ac:dyDescent="0.3">
      <c r="A111" s="3" t="s">
        <v>1252</v>
      </c>
      <c r="B111" s="9">
        <f>_xlfn.XLOOKUP(A111,tbl_Demand_Analysis[Product_ID],tbl_Demand_Analysis[Avg_Daily_Demand])</f>
        <v>43.6</v>
      </c>
      <c r="C111" s="1" cm="1">
        <f t="array" ref="C111">_xlfn.XLOOKUP(A111,tbl_Demand_Analysis[Product_ID], tbl_Products[Lead_Time_(Days)])</f>
        <v>9</v>
      </c>
      <c r="D111" s="9">
        <f>(_xlfn.XLOOKUP(A111, tbl_Demand_Analysis[Product_ID], tbl_Demand_Analysis[Max_Daily_Demand]) - B111) * C111</f>
        <v>66.599999999999994</v>
      </c>
      <c r="E111" s="1">
        <f t="shared" si="4"/>
        <v>459</v>
      </c>
      <c r="F111" s="1">
        <f>_xlfn.XLOOKUP(A111,tbl_Inventory_Status[Product_ID], tbl_Inventory_Status[Current_Stock])</f>
        <v>747</v>
      </c>
      <c r="G111" s="9">
        <f>SQRT((2*(B111*365)*_xlfn.XLOOKUP(A111,tbl_Products[Product_ID],tbl_Products[Order_Cost_per_Unit]))/(_xlfn.XLOOKUP(A111,tbl_Products[Product_ID], tbl_Products[Holding_Cost_per_Unit(Monthly)])*12))</f>
        <v>248.52900568478253</v>
      </c>
      <c r="H111" s="20" t="str">
        <f t="shared" si="5"/>
        <v>SUFFICIENT_STOCK</v>
      </c>
      <c r="I111" s="43">
        <f>IF(tbl_Reorder_Optimization[[#This Row],[Action]]="Sufficient_stock",0,1)</f>
        <v>0</v>
      </c>
    </row>
    <row r="112" spans="1:9" x14ac:dyDescent="0.3">
      <c r="A112" s="3" t="s">
        <v>1254</v>
      </c>
      <c r="B112" s="9">
        <f>_xlfn.XLOOKUP(A112,tbl_Demand_Analysis[Product_ID],tbl_Demand_Analysis[Avg_Daily_Demand])</f>
        <v>81</v>
      </c>
      <c r="C112" s="1" cm="1">
        <f t="array" ref="C112">_xlfn.XLOOKUP(A112,tbl_Demand_Analysis[Product_ID], tbl_Products[Lead_Time_(Days)])</f>
        <v>7</v>
      </c>
      <c r="D112" s="9">
        <f>(_xlfn.XLOOKUP(A112, tbl_Demand_Analysis[Product_ID], tbl_Demand_Analysis[Max_Daily_Demand]) - B112) * C112</f>
        <v>56</v>
      </c>
      <c r="E112" s="1">
        <f t="shared" si="4"/>
        <v>623</v>
      </c>
      <c r="F112" s="1">
        <f>_xlfn.XLOOKUP(A112,tbl_Inventory_Status[Product_ID], tbl_Inventory_Status[Current_Stock])</f>
        <v>443</v>
      </c>
      <c r="G112" s="9">
        <f>SQRT((2*(B112*365)*_xlfn.XLOOKUP(A112,tbl_Products[Product_ID],tbl_Products[Order_Cost_per_Unit]))/(_xlfn.XLOOKUP(A112,tbl_Products[Product_ID], tbl_Products[Holding_Cost_per_Unit(Monthly)])*12))</f>
        <v>432.57398576955245</v>
      </c>
      <c r="H112" s="20" t="str">
        <f t="shared" si="5"/>
        <v>REORDER</v>
      </c>
      <c r="I112" s="43">
        <f>IF(tbl_Reorder_Optimization[[#This Row],[Action]]="Sufficient_stock",0,1)</f>
        <v>1</v>
      </c>
    </row>
    <row r="113" spans="1:9" x14ac:dyDescent="0.3">
      <c r="A113" s="3" t="s">
        <v>1256</v>
      </c>
      <c r="B113" s="9">
        <f>_xlfn.XLOOKUP(A113,tbl_Demand_Analysis[Product_ID],tbl_Demand_Analysis[Avg_Daily_Demand])</f>
        <v>36.333333333333336</v>
      </c>
      <c r="C113" s="1" cm="1">
        <f t="array" ref="C113">_xlfn.XLOOKUP(A113,tbl_Demand_Analysis[Product_ID], tbl_Products[Lead_Time_(Days)])</f>
        <v>10</v>
      </c>
      <c r="D113" s="9">
        <f>(_xlfn.XLOOKUP(A113, tbl_Demand_Analysis[Product_ID], tbl_Demand_Analysis[Max_Daily_Demand]) - B113) * C113</f>
        <v>456.66666666666663</v>
      </c>
      <c r="E113" s="1">
        <f t="shared" si="4"/>
        <v>820</v>
      </c>
      <c r="F113" s="1">
        <f>_xlfn.XLOOKUP(A113,tbl_Inventory_Status[Product_ID], tbl_Inventory_Status[Current_Stock])</f>
        <v>434</v>
      </c>
      <c r="G113" s="9">
        <f>SQRT((2*(B113*365)*_xlfn.XLOOKUP(A113,tbl_Products[Product_ID],tbl_Products[Order_Cost_per_Unit]))/(_xlfn.XLOOKUP(A113,tbl_Products[Product_ID], tbl_Products[Holding_Cost_per_Unit(Monthly)])*12))</f>
        <v>219.73339980597231</v>
      </c>
      <c r="H113" s="20" t="str">
        <f t="shared" si="5"/>
        <v>REORDER</v>
      </c>
      <c r="I113" s="43">
        <f>IF(tbl_Reorder_Optimization[[#This Row],[Action]]="Sufficient_stock",0,1)</f>
        <v>1</v>
      </c>
    </row>
    <row r="114" spans="1:9" x14ac:dyDescent="0.3">
      <c r="A114" s="3" t="s">
        <v>1258</v>
      </c>
      <c r="B114" s="9">
        <f>_xlfn.XLOOKUP(A114,tbl_Demand_Analysis[Product_ID],tbl_Demand_Analysis[Avg_Daily_Demand])</f>
        <v>70</v>
      </c>
      <c r="C114" s="1" cm="1">
        <f t="array" ref="C114">_xlfn.XLOOKUP(A114,tbl_Demand_Analysis[Product_ID], tbl_Products[Lead_Time_(Days)])</f>
        <v>6</v>
      </c>
      <c r="D114" s="9">
        <f>(_xlfn.XLOOKUP(A114, tbl_Demand_Analysis[Product_ID], tbl_Demand_Analysis[Max_Daily_Demand]) - B114) * C114</f>
        <v>90</v>
      </c>
      <c r="E114" s="1">
        <f t="shared" si="4"/>
        <v>510</v>
      </c>
      <c r="F114" s="1">
        <f>_xlfn.XLOOKUP(A114,tbl_Inventory_Status[Product_ID], tbl_Inventory_Status[Current_Stock])</f>
        <v>847</v>
      </c>
      <c r="G114" s="9">
        <f>SQRT((2*(B114*365)*_xlfn.XLOOKUP(A114,tbl_Products[Product_ID],tbl_Products[Order_Cost_per_Unit]))/(_xlfn.XLOOKUP(A114,tbl_Products[Product_ID], tbl_Products[Holding_Cost_per_Unit(Monthly)])*12))</f>
        <v>359.54253341341035</v>
      </c>
      <c r="H114" s="20" t="str">
        <f t="shared" si="5"/>
        <v>SUFFICIENT_STOCK</v>
      </c>
      <c r="I114" s="43">
        <f>IF(tbl_Reorder_Optimization[[#This Row],[Action]]="Sufficient_stock",0,1)</f>
        <v>0</v>
      </c>
    </row>
    <row r="115" spans="1:9" x14ac:dyDescent="0.3">
      <c r="A115" s="3" t="s">
        <v>1260</v>
      </c>
      <c r="B115" s="9">
        <f>_xlfn.XLOOKUP(A115,tbl_Demand_Analysis[Product_ID],tbl_Demand_Analysis[Avg_Daily_Demand])</f>
        <v>44</v>
      </c>
      <c r="C115" s="1" cm="1">
        <f t="array" ref="C115">_xlfn.XLOOKUP(A115,tbl_Demand_Analysis[Product_ID], tbl_Products[Lead_Time_(Days)])</f>
        <v>7</v>
      </c>
      <c r="D115" s="9">
        <f>(_xlfn.XLOOKUP(A115, tbl_Demand_Analysis[Product_ID], tbl_Demand_Analysis[Max_Daily_Demand]) - B115) * C115</f>
        <v>385</v>
      </c>
      <c r="E115" s="1">
        <f t="shared" si="4"/>
        <v>693</v>
      </c>
      <c r="F115" s="1">
        <f>_xlfn.XLOOKUP(A115,tbl_Inventory_Status[Product_ID], tbl_Inventory_Status[Current_Stock])</f>
        <v>235</v>
      </c>
      <c r="G115" s="9">
        <f>SQRT((2*(B115*365)*_xlfn.XLOOKUP(A115,tbl_Products[Product_ID],tbl_Products[Order_Cost_per_Unit]))/(_xlfn.XLOOKUP(A115,tbl_Products[Product_ID], tbl_Products[Holding_Cost_per_Unit(Monthly)])*12))</f>
        <v>274.37428815397408</v>
      </c>
      <c r="H115" s="20" t="str">
        <f t="shared" si="5"/>
        <v>REORDER</v>
      </c>
      <c r="I115" s="43">
        <f>IF(tbl_Reorder_Optimization[[#This Row],[Action]]="Sufficient_stock",0,1)</f>
        <v>1</v>
      </c>
    </row>
    <row r="116" spans="1:9" x14ac:dyDescent="0.3">
      <c r="A116" s="3" t="s">
        <v>1262</v>
      </c>
      <c r="B116" s="9">
        <f>_xlfn.XLOOKUP(A116,tbl_Demand_Analysis[Product_ID],tbl_Demand_Analysis[Avg_Daily_Demand])</f>
        <v>0</v>
      </c>
      <c r="C116" s="1" cm="1">
        <f t="array" ref="C116">_xlfn.XLOOKUP(A116,tbl_Demand_Analysis[Product_ID], tbl_Products[Lead_Time_(Days)])</f>
        <v>5</v>
      </c>
      <c r="D116" s="9">
        <f>(_xlfn.XLOOKUP(A116, tbl_Demand_Analysis[Product_ID], tbl_Demand_Analysis[Max_Daily_Demand]) - B116) * C116</f>
        <v>0</v>
      </c>
      <c r="E116" s="1">
        <f t="shared" si="4"/>
        <v>0</v>
      </c>
      <c r="F116" s="1">
        <f>_xlfn.XLOOKUP(A116,tbl_Inventory_Status[Product_ID], tbl_Inventory_Status[Current_Stock])</f>
        <v>844</v>
      </c>
      <c r="G116" s="9">
        <f>SQRT((2*(B116*365)*_xlfn.XLOOKUP(A116,tbl_Products[Product_ID],tbl_Products[Order_Cost_per_Unit]))/(_xlfn.XLOOKUP(A116,tbl_Products[Product_ID], tbl_Products[Holding_Cost_per_Unit(Monthly)])*12))</f>
        <v>0</v>
      </c>
      <c r="H116" s="20" t="str">
        <f t="shared" si="5"/>
        <v>SUFFICIENT_STOCK</v>
      </c>
      <c r="I116" s="43">
        <f>IF(tbl_Reorder_Optimization[[#This Row],[Action]]="Sufficient_stock",0,1)</f>
        <v>0</v>
      </c>
    </row>
    <row r="117" spans="1:9" x14ac:dyDescent="0.3">
      <c r="A117" s="3" t="s">
        <v>1263</v>
      </c>
      <c r="B117" s="9">
        <f>_xlfn.XLOOKUP(A117,tbl_Demand_Analysis[Product_ID],tbl_Demand_Analysis[Avg_Daily_Demand])</f>
        <v>55.8</v>
      </c>
      <c r="C117" s="1" cm="1">
        <f t="array" ref="C117">_xlfn.XLOOKUP(A117,tbl_Demand_Analysis[Product_ID], tbl_Products[Lead_Time_(Days)])</f>
        <v>8</v>
      </c>
      <c r="D117" s="9">
        <f>(_xlfn.XLOOKUP(A117, tbl_Demand_Analysis[Product_ID], tbl_Demand_Analysis[Max_Daily_Demand]) - B117) * C117</f>
        <v>337.6</v>
      </c>
      <c r="E117" s="1">
        <f t="shared" si="4"/>
        <v>784</v>
      </c>
      <c r="F117" s="1">
        <f>_xlfn.XLOOKUP(A117,tbl_Inventory_Status[Product_ID], tbl_Inventory_Status[Current_Stock])</f>
        <v>656</v>
      </c>
      <c r="G117" s="9">
        <f>SQRT((2*(B117*365)*_xlfn.XLOOKUP(A117,tbl_Products[Product_ID],tbl_Products[Order_Cost_per_Unit]))/(_xlfn.XLOOKUP(A117,tbl_Products[Product_ID], tbl_Products[Holding_Cost_per_Unit(Monthly)])*12))</f>
        <v>284.11769718491411</v>
      </c>
      <c r="H117" s="20" t="str">
        <f t="shared" si="5"/>
        <v>REORDER</v>
      </c>
      <c r="I117" s="43">
        <f>IF(tbl_Reorder_Optimization[[#This Row],[Action]]="Sufficient_stock",0,1)</f>
        <v>1</v>
      </c>
    </row>
    <row r="118" spans="1:9" x14ac:dyDescent="0.3">
      <c r="A118" s="3" t="s">
        <v>1264</v>
      </c>
      <c r="B118" s="9">
        <f>_xlfn.XLOOKUP(A118,tbl_Demand_Analysis[Product_ID],tbl_Demand_Analysis[Avg_Daily_Demand])</f>
        <v>55</v>
      </c>
      <c r="C118" s="1" cm="1">
        <f t="array" ref="C118">_xlfn.XLOOKUP(A118,tbl_Demand_Analysis[Product_ID], tbl_Products[Lead_Time_(Days)])</f>
        <v>9</v>
      </c>
      <c r="D118" s="9">
        <f>(_xlfn.XLOOKUP(A118, tbl_Demand_Analysis[Product_ID], tbl_Demand_Analysis[Max_Daily_Demand]) - B118) * C118</f>
        <v>378</v>
      </c>
      <c r="E118" s="1">
        <f t="shared" si="4"/>
        <v>873</v>
      </c>
      <c r="F118" s="1">
        <f>_xlfn.XLOOKUP(A118,tbl_Inventory_Status[Product_ID], tbl_Inventory_Status[Current_Stock])</f>
        <v>0</v>
      </c>
      <c r="G118" s="9">
        <f>SQRT((2*(B118*365)*_xlfn.XLOOKUP(A118,tbl_Products[Product_ID],tbl_Products[Order_Cost_per_Unit]))/(_xlfn.XLOOKUP(A118,tbl_Products[Product_ID], tbl_Products[Holding_Cost_per_Unit(Monthly)])*12))</f>
        <v>271.78860833200429</v>
      </c>
      <c r="H118" s="20" t="str">
        <f t="shared" si="5"/>
        <v>REORDER</v>
      </c>
      <c r="I118" s="43">
        <f>IF(tbl_Reorder_Optimization[[#This Row],[Action]]="Sufficient_stock",0,1)</f>
        <v>1</v>
      </c>
    </row>
    <row r="119" spans="1:9" x14ac:dyDescent="0.3">
      <c r="A119" s="3" t="s">
        <v>1265</v>
      </c>
      <c r="B119" s="9">
        <f>_xlfn.XLOOKUP(A119,tbl_Demand_Analysis[Product_ID],tbl_Demand_Analysis[Avg_Daily_Demand])</f>
        <v>61.25</v>
      </c>
      <c r="C119" s="1" cm="1">
        <f t="array" ref="C119">_xlfn.XLOOKUP(A119,tbl_Demand_Analysis[Product_ID], tbl_Products[Lead_Time_(Days)])</f>
        <v>6</v>
      </c>
      <c r="D119" s="9">
        <f>(_xlfn.XLOOKUP(A119, tbl_Demand_Analysis[Product_ID], tbl_Demand_Analysis[Max_Daily_Demand]) - B119) * C119</f>
        <v>112.5</v>
      </c>
      <c r="E119" s="1">
        <f t="shared" si="4"/>
        <v>480</v>
      </c>
      <c r="F119" s="1">
        <f>_xlfn.XLOOKUP(A119,tbl_Inventory_Status[Product_ID], tbl_Inventory_Status[Current_Stock])</f>
        <v>473</v>
      </c>
      <c r="G119" s="9">
        <f>SQRT((2*(B119*365)*_xlfn.XLOOKUP(A119,tbl_Products[Product_ID],tbl_Products[Order_Cost_per_Unit]))/(_xlfn.XLOOKUP(A119,tbl_Products[Product_ID], tbl_Products[Holding_Cost_per_Unit(Monthly)])*12))</f>
        <v>375.94230267759008</v>
      </c>
      <c r="H119" s="20" t="str">
        <f t="shared" si="5"/>
        <v>REORDER</v>
      </c>
      <c r="I119" s="43">
        <f>IF(tbl_Reorder_Optimization[[#This Row],[Action]]="Sufficient_stock",0,1)</f>
        <v>1</v>
      </c>
    </row>
    <row r="120" spans="1:9" x14ac:dyDescent="0.3">
      <c r="A120" s="3" t="s">
        <v>1266</v>
      </c>
      <c r="B120" s="9">
        <f>_xlfn.XLOOKUP(A120,tbl_Demand_Analysis[Product_ID],tbl_Demand_Analysis[Avg_Daily_Demand])</f>
        <v>31.75</v>
      </c>
      <c r="C120" s="1" cm="1">
        <f t="array" ref="C120">_xlfn.XLOOKUP(A120,tbl_Demand_Analysis[Product_ID], tbl_Products[Lead_Time_(Days)])</f>
        <v>10</v>
      </c>
      <c r="D120" s="9">
        <f>(_xlfn.XLOOKUP(A120, tbl_Demand_Analysis[Product_ID], tbl_Demand_Analysis[Max_Daily_Demand]) - B120) * C120</f>
        <v>332.5</v>
      </c>
      <c r="E120" s="1">
        <f t="shared" si="4"/>
        <v>650</v>
      </c>
      <c r="F120" s="1">
        <f>_xlfn.XLOOKUP(A120,tbl_Inventory_Status[Product_ID], tbl_Inventory_Status[Current_Stock])</f>
        <v>526</v>
      </c>
      <c r="G120" s="9">
        <f>SQRT((2*(B120*365)*_xlfn.XLOOKUP(A120,tbl_Products[Product_ID],tbl_Products[Order_Cost_per_Unit]))/(_xlfn.XLOOKUP(A120,tbl_Products[Product_ID], tbl_Products[Holding_Cost_per_Unit(Monthly)])*12))</f>
        <v>203.74799317039987</v>
      </c>
      <c r="H120" s="20" t="str">
        <f t="shared" si="5"/>
        <v>REORDER</v>
      </c>
      <c r="I120" s="43">
        <f>IF(tbl_Reorder_Optimization[[#This Row],[Action]]="Sufficient_stock",0,1)</f>
        <v>1</v>
      </c>
    </row>
    <row r="121" spans="1:9" x14ac:dyDescent="0.3">
      <c r="A121" s="3" t="s">
        <v>1267</v>
      </c>
      <c r="B121" s="9">
        <f>_xlfn.XLOOKUP(A121,tbl_Demand_Analysis[Product_ID],tbl_Demand_Analysis[Avg_Daily_Demand])</f>
        <v>57.6</v>
      </c>
      <c r="C121" s="1" cm="1">
        <f t="array" ref="C121">_xlfn.XLOOKUP(A121,tbl_Demand_Analysis[Product_ID], tbl_Products[Lead_Time_(Days)])</f>
        <v>11</v>
      </c>
      <c r="D121" s="9">
        <f>(_xlfn.XLOOKUP(A121, tbl_Demand_Analysis[Product_ID], tbl_Demand_Analysis[Max_Daily_Demand]) - B121) * C121</f>
        <v>213.39999999999998</v>
      </c>
      <c r="E121" s="1">
        <f t="shared" si="4"/>
        <v>847</v>
      </c>
      <c r="F121" s="1">
        <f>_xlfn.XLOOKUP(A121,tbl_Inventory_Status[Product_ID], tbl_Inventory_Status[Current_Stock])</f>
        <v>271</v>
      </c>
      <c r="G121" s="9">
        <f>SQRT((2*(B121*365)*_xlfn.XLOOKUP(A121,tbl_Products[Product_ID],tbl_Products[Order_Cost_per_Unit]))/(_xlfn.XLOOKUP(A121,tbl_Products[Product_ID], tbl_Products[Holding_Cost_per_Unit(Monthly)])*12))</f>
        <v>268.78880683617086</v>
      </c>
      <c r="H121" s="20" t="str">
        <f t="shared" si="5"/>
        <v>REORDER</v>
      </c>
      <c r="I121" s="43">
        <f>IF(tbl_Reorder_Optimization[[#This Row],[Action]]="Sufficient_stock",0,1)</f>
        <v>1</v>
      </c>
    </row>
    <row r="122" spans="1:9" x14ac:dyDescent="0.3">
      <c r="A122" s="4" t="s">
        <v>1268</v>
      </c>
      <c r="B122" s="26">
        <f>_xlfn.XLOOKUP(A122,tbl_Demand_Analysis[Product_ID],tbl_Demand_Analysis[Avg_Daily_Demand])</f>
        <v>74.666666666666671</v>
      </c>
      <c r="C122" s="5" cm="1">
        <f t="array" ref="C122">_xlfn.XLOOKUP(A122,tbl_Demand_Analysis[Product_ID], tbl_Products[Lead_Time_(Days)])</f>
        <v>7</v>
      </c>
      <c r="D122" s="26">
        <f>(_xlfn.XLOOKUP(A122, tbl_Demand_Analysis[Product_ID], tbl_Demand_Analysis[Max_Daily_Demand]) - B122) * C122</f>
        <v>100.3333333333333</v>
      </c>
      <c r="E122" s="5">
        <f t="shared" si="4"/>
        <v>623</v>
      </c>
      <c r="F122" s="5">
        <f>_xlfn.XLOOKUP(A122,tbl_Inventory_Status[Product_ID], tbl_Inventory_Status[Current_Stock])</f>
        <v>91</v>
      </c>
      <c r="G122" s="26">
        <f>SQRT((2*(B122*365)*_xlfn.XLOOKUP(A122,tbl_Products[Product_ID],tbl_Products[Order_Cost_per_Unit]))/(_xlfn.XLOOKUP(A122,tbl_Products[Product_ID], tbl_Products[Holding_Cost_per_Unit(Monthly)])*12))</f>
        <v>362.53898461604132</v>
      </c>
      <c r="H122" s="21" t="str">
        <f t="shared" si="5"/>
        <v>REORDER</v>
      </c>
      <c r="I122" s="43">
        <f>IF(tbl_Reorder_Optimization[[#This Row],[Action]]="Sufficient_stock",0,1)</f>
        <v>1</v>
      </c>
    </row>
    <row r="126" spans="1:9" ht="27" hidden="1" customHeight="1" x14ac:dyDescent="0.3">
      <c r="E126" s="39" t="s">
        <v>2390</v>
      </c>
      <c r="F126" s="39">
        <f>COUNTIF(tbl_Reorder_Optimization[Action], "Reorder")</f>
        <v>67</v>
      </c>
    </row>
  </sheetData>
  <conditionalFormatting sqref="H1:H1048576">
    <cfRule type="containsText" dxfId="1" priority="1" operator="containsText" text="Reorder">
      <formula>NOT(ISERROR(SEARCH("Reorder",H1)))</formula>
    </cfRule>
    <cfRule type="containsText" dxfId="0" priority="2" operator="containsText" text="SUFFICIENT_STOCK">
      <formula>NOT(ISERROR(SEARCH("SUFFICIENT_STOCK",H1)))</formula>
    </cfRule>
  </conditionalFormatting>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C4F4A4-BF65-4A2D-9AAD-A8646F0E895C}">
  <dimension ref="D2:Q402"/>
  <sheetViews>
    <sheetView showGridLines="0" topLeftCell="B1" zoomScale="65" zoomScaleNormal="115" workbookViewId="0">
      <selection activeCell="N14" sqref="N14"/>
    </sheetView>
  </sheetViews>
  <sheetFormatPr defaultRowHeight="14.4" x14ac:dyDescent="0.3"/>
  <cols>
    <col min="1" max="1" width="12.44140625" bestFit="1" customWidth="1"/>
    <col min="2" max="2" width="19" bestFit="1" customWidth="1"/>
    <col min="3" max="3" width="18.88671875" bestFit="1" customWidth="1"/>
    <col min="4" max="4" width="12.6640625" bestFit="1" customWidth="1"/>
    <col min="5" max="5" width="14.109375" bestFit="1" customWidth="1"/>
    <col min="6" max="6" width="24" bestFit="1" customWidth="1"/>
    <col min="7" max="7" width="19.5546875" bestFit="1" customWidth="1"/>
    <col min="8" max="12" width="7.77734375" bestFit="1" customWidth="1"/>
    <col min="13" max="13" width="16.77734375" customWidth="1"/>
    <col min="14" max="14" width="17.6640625" customWidth="1"/>
    <col min="15" max="15" width="7.33203125" bestFit="1" customWidth="1"/>
    <col min="16" max="16" width="6.88671875" bestFit="1" customWidth="1"/>
    <col min="17" max="17" width="55.33203125" customWidth="1"/>
    <col min="18" max="24" width="7.33203125" bestFit="1" customWidth="1"/>
    <col min="25" max="25" width="7.77734375" bestFit="1" customWidth="1"/>
    <col min="26" max="26" width="7.33203125" bestFit="1" customWidth="1"/>
    <col min="27" max="35" width="7.77734375" bestFit="1" customWidth="1"/>
    <col min="36" max="36" width="7.33203125" bestFit="1" customWidth="1"/>
    <col min="37" max="45" width="7.77734375" bestFit="1" customWidth="1"/>
    <col min="46" max="46" width="7.33203125" bestFit="1" customWidth="1"/>
    <col min="47" max="55" width="7.77734375" bestFit="1" customWidth="1"/>
    <col min="56" max="56" width="7.33203125" bestFit="1" customWidth="1"/>
    <col min="57" max="65" width="7.77734375" bestFit="1" customWidth="1"/>
    <col min="66" max="66" width="7.33203125" bestFit="1" customWidth="1"/>
    <col min="67" max="75" width="7.77734375" bestFit="1" customWidth="1"/>
    <col min="76" max="76" width="7.33203125" bestFit="1" customWidth="1"/>
    <col min="77" max="85" width="7.77734375" bestFit="1" customWidth="1"/>
    <col min="86" max="86" width="7.33203125" bestFit="1" customWidth="1"/>
    <col min="87" max="95" width="7.77734375" bestFit="1" customWidth="1"/>
    <col min="96" max="96" width="7.33203125" bestFit="1" customWidth="1"/>
    <col min="97" max="104" width="7.77734375" bestFit="1" customWidth="1"/>
    <col min="105" max="105" width="7.33203125" bestFit="1" customWidth="1"/>
    <col min="106" max="106" width="6.88671875" bestFit="1" customWidth="1"/>
    <col min="107" max="114" width="7.33203125" bestFit="1" customWidth="1"/>
    <col min="115" max="115" width="6.88671875" bestFit="1" customWidth="1"/>
    <col min="116" max="116" width="6.44140625" bestFit="1" customWidth="1"/>
    <col min="117" max="124" width="6.88671875" bestFit="1" customWidth="1"/>
    <col min="125" max="125" width="7.33203125" bestFit="1" customWidth="1"/>
    <col min="126" max="126" width="6.88671875" bestFit="1" customWidth="1"/>
    <col min="127" max="127" width="15.109375" bestFit="1" customWidth="1"/>
    <col min="128" max="143" width="6.109375" bestFit="1" customWidth="1"/>
    <col min="144" max="144" width="9" bestFit="1" customWidth="1"/>
    <col min="145" max="151" width="7.5546875" bestFit="1" customWidth="1"/>
    <col min="152" max="152" width="9" bestFit="1" customWidth="1"/>
    <col min="153" max="181" width="7.5546875" bestFit="1" customWidth="1"/>
    <col min="182" max="182" width="9" bestFit="1" customWidth="1"/>
    <col min="183" max="193" width="7.5546875" bestFit="1" customWidth="1"/>
    <col min="194" max="194" width="8.5546875" bestFit="1" customWidth="1"/>
    <col min="195" max="195" width="7.5546875" bestFit="1" customWidth="1"/>
    <col min="196" max="196" width="6.109375" bestFit="1" customWidth="1"/>
    <col min="197" max="197" width="7.5546875" bestFit="1" customWidth="1"/>
    <col min="198" max="200" width="6.109375" bestFit="1" customWidth="1"/>
    <col min="201" max="202" width="7.5546875" bestFit="1" customWidth="1"/>
    <col min="203" max="205" width="6.109375" bestFit="1" customWidth="1"/>
    <col min="206" max="206" width="7.5546875" bestFit="1" customWidth="1"/>
    <col min="207" max="209" width="6.109375" bestFit="1" customWidth="1"/>
    <col min="210" max="211" width="7.5546875" bestFit="1" customWidth="1"/>
    <col min="212" max="213" width="6.109375" bestFit="1" customWidth="1"/>
    <col min="214" max="214" width="7.5546875" bestFit="1" customWidth="1"/>
    <col min="215" max="216" width="6.109375" bestFit="1" customWidth="1"/>
    <col min="217" max="217" width="7.5546875" bestFit="1" customWidth="1"/>
    <col min="218" max="218" width="6.109375" bestFit="1" customWidth="1"/>
    <col min="219" max="219" width="7.5546875" bestFit="1" customWidth="1"/>
    <col min="220" max="237" width="6.109375" bestFit="1" customWidth="1"/>
    <col min="238" max="238" width="9" bestFit="1" customWidth="1"/>
    <col min="239" max="245" width="7.5546875" bestFit="1" customWidth="1"/>
    <col min="246" max="246" width="9" bestFit="1" customWidth="1"/>
    <col min="247" max="275" width="7.5546875" bestFit="1" customWidth="1"/>
    <col min="276" max="276" width="9" bestFit="1" customWidth="1"/>
    <col min="277" max="287" width="7.5546875" bestFit="1" customWidth="1"/>
    <col min="288" max="288" width="6.109375" bestFit="1" customWidth="1"/>
    <col min="289" max="289" width="7.5546875" bestFit="1" customWidth="1"/>
    <col min="290" max="290" width="6.109375" bestFit="1" customWidth="1"/>
    <col min="291" max="291" width="7.5546875" bestFit="1" customWidth="1"/>
    <col min="292" max="294" width="6.109375" bestFit="1" customWidth="1"/>
    <col min="295" max="296" width="7.5546875" bestFit="1" customWidth="1"/>
    <col min="297" max="299" width="6.109375" bestFit="1" customWidth="1"/>
    <col min="300" max="300" width="7.5546875" bestFit="1" customWidth="1"/>
    <col min="301" max="303" width="6.109375" bestFit="1" customWidth="1"/>
    <col min="304" max="305" width="7.5546875" bestFit="1" customWidth="1"/>
    <col min="306" max="307" width="6.109375" bestFit="1" customWidth="1"/>
    <col min="308" max="308" width="7.5546875" bestFit="1" customWidth="1"/>
    <col min="309" max="310" width="6.109375" bestFit="1" customWidth="1"/>
    <col min="311" max="311" width="7.5546875" bestFit="1" customWidth="1"/>
    <col min="312" max="312" width="6.109375" bestFit="1" customWidth="1"/>
    <col min="313" max="313" width="7.5546875" bestFit="1" customWidth="1"/>
    <col min="314" max="331" width="6.109375" bestFit="1" customWidth="1"/>
    <col min="332" max="332" width="9" bestFit="1" customWidth="1"/>
    <col min="333" max="339" width="7.5546875" bestFit="1" customWidth="1"/>
    <col min="340" max="340" width="9" bestFit="1" customWidth="1"/>
    <col min="341" max="369" width="7.5546875" bestFit="1" customWidth="1"/>
    <col min="370" max="370" width="9" bestFit="1" customWidth="1"/>
    <col min="371" max="381" width="7.5546875" bestFit="1" customWidth="1"/>
    <col min="382" max="382" width="10" bestFit="1" customWidth="1"/>
    <col min="383" max="383" width="7.5546875" bestFit="1" customWidth="1"/>
    <col min="384" max="384" width="6.109375" bestFit="1" customWidth="1"/>
    <col min="385" max="385" width="7.5546875" bestFit="1" customWidth="1"/>
    <col min="386" max="388" width="6.109375" bestFit="1" customWidth="1"/>
    <col min="389" max="390" width="7.5546875" bestFit="1" customWidth="1"/>
    <col min="391" max="393" width="6.109375" bestFit="1" customWidth="1"/>
    <col min="394" max="394" width="7.5546875" bestFit="1" customWidth="1"/>
    <col min="395" max="397" width="6.109375" bestFit="1" customWidth="1"/>
    <col min="398" max="399" width="7.5546875" bestFit="1" customWidth="1"/>
    <col min="400" max="401" width="6.109375" bestFit="1" customWidth="1"/>
    <col min="402" max="402" width="7.5546875" bestFit="1" customWidth="1"/>
    <col min="403" max="404" width="6.109375" bestFit="1" customWidth="1"/>
    <col min="405" max="405" width="7.5546875" bestFit="1" customWidth="1"/>
    <col min="406" max="406" width="6.109375" bestFit="1" customWidth="1"/>
    <col min="407" max="407" width="7.5546875" bestFit="1" customWidth="1"/>
    <col min="408" max="425" width="6.109375" bestFit="1" customWidth="1"/>
    <col min="426" max="426" width="9" bestFit="1" customWidth="1"/>
    <col min="427" max="433" width="7.5546875" bestFit="1" customWidth="1"/>
    <col min="434" max="434" width="9" bestFit="1" customWidth="1"/>
    <col min="435" max="463" width="7.5546875" bestFit="1" customWidth="1"/>
    <col min="464" max="464" width="9" bestFit="1" customWidth="1"/>
    <col min="465" max="475" width="7.5546875" bestFit="1" customWidth="1"/>
    <col min="476" max="476" width="18.77734375" bestFit="1" customWidth="1"/>
    <col min="477" max="477" width="7.5546875" bestFit="1" customWidth="1"/>
    <col min="478" max="478" width="6.109375" bestFit="1" customWidth="1"/>
    <col min="479" max="479" width="7.5546875" bestFit="1" customWidth="1"/>
    <col min="480" max="482" width="6.109375" bestFit="1" customWidth="1"/>
    <col min="483" max="484" width="7.5546875" bestFit="1" customWidth="1"/>
    <col min="485" max="487" width="6.109375" bestFit="1" customWidth="1"/>
    <col min="488" max="488" width="7.5546875" bestFit="1" customWidth="1"/>
    <col min="489" max="491" width="6.109375" bestFit="1" customWidth="1"/>
    <col min="492" max="493" width="7.5546875" bestFit="1" customWidth="1"/>
    <col min="494" max="495" width="6.109375" bestFit="1" customWidth="1"/>
    <col min="496" max="496" width="7.5546875" bestFit="1" customWidth="1"/>
    <col min="497" max="498" width="6.109375" bestFit="1" customWidth="1"/>
    <col min="499" max="499" width="7.5546875" bestFit="1" customWidth="1"/>
    <col min="500" max="500" width="6.109375" bestFit="1" customWidth="1"/>
    <col min="501" max="501" width="7.5546875" bestFit="1" customWidth="1"/>
    <col min="502" max="519" width="6.109375" bestFit="1" customWidth="1"/>
    <col min="520" max="520" width="9" bestFit="1" customWidth="1"/>
    <col min="521" max="527" width="7.5546875" bestFit="1" customWidth="1"/>
    <col min="528" max="528" width="9" bestFit="1" customWidth="1"/>
    <col min="529" max="557" width="7.5546875" bestFit="1" customWidth="1"/>
    <col min="558" max="558" width="9" bestFit="1" customWidth="1"/>
    <col min="559" max="569" width="7.5546875" bestFit="1" customWidth="1"/>
    <col min="570" max="570" width="8.5546875" bestFit="1" customWidth="1"/>
    <col min="571" max="571" width="7.5546875" bestFit="1" customWidth="1"/>
    <col min="572" max="572" width="6.109375" bestFit="1" customWidth="1"/>
    <col min="573" max="573" width="7.5546875" bestFit="1" customWidth="1"/>
    <col min="574" max="576" width="6.109375" bestFit="1" customWidth="1"/>
    <col min="577" max="578" width="7.5546875" bestFit="1" customWidth="1"/>
    <col min="579" max="581" width="6.109375" bestFit="1" customWidth="1"/>
    <col min="582" max="582" width="7.5546875" bestFit="1" customWidth="1"/>
    <col min="583" max="585" width="6.109375" bestFit="1" customWidth="1"/>
    <col min="586" max="587" width="7.5546875" bestFit="1" customWidth="1"/>
    <col min="588" max="589" width="6.109375" bestFit="1" customWidth="1"/>
    <col min="590" max="590" width="7.5546875" bestFit="1" customWidth="1"/>
    <col min="591" max="592" width="6.109375" bestFit="1" customWidth="1"/>
    <col min="593" max="593" width="7.5546875" bestFit="1" customWidth="1"/>
    <col min="594" max="594" width="6.109375" bestFit="1" customWidth="1"/>
    <col min="595" max="595" width="7.5546875" bestFit="1" customWidth="1"/>
    <col min="596" max="613" width="6.109375" bestFit="1" customWidth="1"/>
    <col min="614" max="614" width="9" bestFit="1" customWidth="1"/>
    <col min="615" max="621" width="7.5546875" bestFit="1" customWidth="1"/>
    <col min="622" max="622" width="9" bestFit="1" customWidth="1"/>
    <col min="623" max="651" width="7.5546875" bestFit="1" customWidth="1"/>
    <col min="652" max="652" width="9" bestFit="1" customWidth="1"/>
    <col min="653" max="663" width="7.5546875" bestFit="1" customWidth="1"/>
    <col min="664" max="664" width="6.109375" bestFit="1" customWidth="1"/>
    <col min="665" max="665" width="7.5546875" bestFit="1" customWidth="1"/>
    <col min="666" max="666" width="6.109375" bestFit="1" customWidth="1"/>
    <col min="667" max="667" width="7.5546875" bestFit="1" customWidth="1"/>
    <col min="668" max="670" width="6.109375" bestFit="1" customWidth="1"/>
    <col min="671" max="672" width="7.5546875" bestFit="1" customWidth="1"/>
    <col min="673" max="675" width="6.109375" bestFit="1" customWidth="1"/>
    <col min="676" max="676" width="7.5546875" bestFit="1" customWidth="1"/>
    <col min="677" max="679" width="6.109375" bestFit="1" customWidth="1"/>
    <col min="680" max="681" width="7.5546875" bestFit="1" customWidth="1"/>
    <col min="682" max="683" width="6.109375" bestFit="1" customWidth="1"/>
    <col min="684" max="684" width="7.5546875" bestFit="1" customWidth="1"/>
    <col min="685" max="686" width="6.109375" bestFit="1" customWidth="1"/>
    <col min="687" max="687" width="7.5546875" bestFit="1" customWidth="1"/>
    <col min="688" max="688" width="6.109375" bestFit="1" customWidth="1"/>
    <col min="689" max="689" width="7.5546875" bestFit="1" customWidth="1"/>
    <col min="690" max="707" width="6.109375" bestFit="1" customWidth="1"/>
    <col min="708" max="708" width="9" bestFit="1" customWidth="1"/>
    <col min="709" max="715" width="7.5546875" bestFit="1" customWidth="1"/>
    <col min="716" max="716" width="9" bestFit="1" customWidth="1"/>
    <col min="717" max="745" width="7.5546875" bestFit="1" customWidth="1"/>
    <col min="746" max="746" width="9" bestFit="1" customWidth="1"/>
    <col min="747" max="757" width="7.5546875" bestFit="1" customWidth="1"/>
    <col min="758" max="758" width="18.77734375" bestFit="1" customWidth="1"/>
    <col min="759" max="759" width="7.5546875" bestFit="1" customWidth="1"/>
    <col min="760" max="760" width="6.109375" bestFit="1" customWidth="1"/>
    <col min="761" max="761" width="7.5546875" bestFit="1" customWidth="1"/>
    <col min="762" max="764" width="6.109375" bestFit="1" customWidth="1"/>
    <col min="765" max="766" width="7.5546875" bestFit="1" customWidth="1"/>
    <col min="767" max="769" width="6.109375" bestFit="1" customWidth="1"/>
    <col min="770" max="770" width="7.5546875" bestFit="1" customWidth="1"/>
    <col min="771" max="773" width="6.109375" bestFit="1" customWidth="1"/>
    <col min="774" max="775" width="7.5546875" bestFit="1" customWidth="1"/>
    <col min="776" max="777" width="6.109375" bestFit="1" customWidth="1"/>
    <col min="778" max="778" width="7.5546875" bestFit="1" customWidth="1"/>
    <col min="779" max="780" width="6.109375" bestFit="1" customWidth="1"/>
    <col min="781" max="781" width="7.5546875" bestFit="1" customWidth="1"/>
    <col min="782" max="782" width="6.109375" bestFit="1" customWidth="1"/>
    <col min="783" max="783" width="7.5546875" bestFit="1" customWidth="1"/>
    <col min="784" max="801" width="6.109375" bestFit="1" customWidth="1"/>
    <col min="802" max="802" width="9" bestFit="1" customWidth="1"/>
    <col min="803" max="809" width="7.5546875" bestFit="1" customWidth="1"/>
    <col min="810" max="810" width="9" bestFit="1" customWidth="1"/>
    <col min="811" max="839" width="7.5546875" bestFit="1" customWidth="1"/>
    <col min="840" max="840" width="9" bestFit="1" customWidth="1"/>
    <col min="841" max="851" width="7.5546875" bestFit="1" customWidth="1"/>
    <col min="852" max="852" width="8.5546875" bestFit="1" customWidth="1"/>
    <col min="853" max="853" width="7.5546875" bestFit="1" customWidth="1"/>
    <col min="854" max="854" width="6.109375" bestFit="1" customWidth="1"/>
    <col min="855" max="855" width="7.5546875" bestFit="1" customWidth="1"/>
    <col min="856" max="858" width="6.109375" bestFit="1" customWidth="1"/>
    <col min="859" max="860" width="7.5546875" bestFit="1" customWidth="1"/>
    <col min="861" max="863" width="6.109375" bestFit="1" customWidth="1"/>
    <col min="864" max="864" width="7.5546875" bestFit="1" customWidth="1"/>
    <col min="865" max="867" width="6.109375" bestFit="1" customWidth="1"/>
    <col min="868" max="869" width="7.5546875" bestFit="1" customWidth="1"/>
    <col min="870" max="871" width="6.109375" bestFit="1" customWidth="1"/>
    <col min="872" max="872" width="7.5546875" bestFit="1" customWidth="1"/>
    <col min="873" max="874" width="6.109375" bestFit="1" customWidth="1"/>
    <col min="875" max="875" width="7.5546875" bestFit="1" customWidth="1"/>
    <col min="876" max="876" width="6.109375" bestFit="1" customWidth="1"/>
    <col min="877" max="877" width="7.5546875" bestFit="1" customWidth="1"/>
    <col min="878" max="895" width="6.109375" bestFit="1" customWidth="1"/>
    <col min="896" max="896" width="9" bestFit="1" customWidth="1"/>
    <col min="897" max="903" width="7.5546875" bestFit="1" customWidth="1"/>
    <col min="904" max="904" width="9" bestFit="1" customWidth="1"/>
    <col min="905" max="933" width="7.5546875" bestFit="1" customWidth="1"/>
    <col min="934" max="934" width="9" bestFit="1" customWidth="1"/>
    <col min="935" max="945" width="7.5546875" bestFit="1" customWidth="1"/>
    <col min="946" max="946" width="18.77734375" bestFit="1" customWidth="1"/>
    <col min="947" max="947" width="7.5546875" bestFit="1" customWidth="1"/>
    <col min="948" max="948" width="6.109375" bestFit="1" customWidth="1"/>
    <col min="949" max="949" width="7.5546875" bestFit="1" customWidth="1"/>
    <col min="950" max="952" width="6.109375" bestFit="1" customWidth="1"/>
    <col min="953" max="954" width="7.5546875" bestFit="1" customWidth="1"/>
    <col min="955" max="957" width="6.109375" bestFit="1" customWidth="1"/>
    <col min="958" max="958" width="7.5546875" bestFit="1" customWidth="1"/>
    <col min="959" max="961" width="6.109375" bestFit="1" customWidth="1"/>
    <col min="962" max="963" width="7.5546875" bestFit="1" customWidth="1"/>
    <col min="964" max="965" width="6.109375" bestFit="1" customWidth="1"/>
    <col min="966" max="966" width="7.5546875" bestFit="1" customWidth="1"/>
    <col min="967" max="968" width="6.109375" bestFit="1" customWidth="1"/>
    <col min="969" max="969" width="7.5546875" bestFit="1" customWidth="1"/>
    <col min="970" max="970" width="6.109375" bestFit="1" customWidth="1"/>
    <col min="971" max="971" width="7.5546875" bestFit="1" customWidth="1"/>
    <col min="972" max="989" width="6.109375" bestFit="1" customWidth="1"/>
    <col min="990" max="990" width="9" bestFit="1" customWidth="1"/>
    <col min="991" max="997" width="7.5546875" bestFit="1" customWidth="1"/>
    <col min="998" max="998" width="9" bestFit="1" customWidth="1"/>
    <col min="999" max="1027" width="7.5546875" bestFit="1" customWidth="1"/>
    <col min="1028" max="1028" width="9" bestFit="1" customWidth="1"/>
    <col min="1029" max="1039" width="7.5546875" bestFit="1" customWidth="1"/>
    <col min="1040" max="1040" width="6.109375" bestFit="1" customWidth="1"/>
    <col min="1041" max="1041" width="7.5546875" bestFit="1" customWidth="1"/>
    <col min="1042" max="1042" width="6.109375" bestFit="1" customWidth="1"/>
    <col min="1043" max="1043" width="7.5546875" bestFit="1" customWidth="1"/>
    <col min="1044" max="1046" width="6.109375" bestFit="1" customWidth="1"/>
    <col min="1047" max="1048" width="7.5546875" bestFit="1" customWidth="1"/>
    <col min="1049" max="1051" width="6.109375" bestFit="1" customWidth="1"/>
    <col min="1052" max="1052" width="7.5546875" bestFit="1" customWidth="1"/>
    <col min="1053" max="1055" width="6.109375" bestFit="1" customWidth="1"/>
    <col min="1056" max="1057" width="7.5546875" bestFit="1" customWidth="1"/>
    <col min="1058" max="1059" width="6.109375" bestFit="1" customWidth="1"/>
    <col min="1060" max="1060" width="7.5546875" bestFit="1" customWidth="1"/>
    <col min="1061" max="1062" width="6.109375" bestFit="1" customWidth="1"/>
    <col min="1063" max="1063" width="7.5546875" bestFit="1" customWidth="1"/>
    <col min="1064" max="1064" width="6.109375" bestFit="1" customWidth="1"/>
    <col min="1065" max="1065" width="7.5546875" bestFit="1" customWidth="1"/>
    <col min="1066" max="1083" width="6.109375" bestFit="1" customWidth="1"/>
    <col min="1084" max="1084" width="9" bestFit="1" customWidth="1"/>
    <col min="1085" max="1091" width="7.5546875" bestFit="1" customWidth="1"/>
    <col min="1092" max="1092" width="9" bestFit="1" customWidth="1"/>
    <col min="1093" max="1121" width="7.5546875" bestFit="1" customWidth="1"/>
    <col min="1122" max="1122" width="9" bestFit="1" customWidth="1"/>
    <col min="1123" max="1133" width="7.5546875" bestFit="1" customWidth="1"/>
    <col min="1134" max="1134" width="6.109375" bestFit="1" customWidth="1"/>
    <col min="1135" max="1135" width="7.5546875" bestFit="1" customWidth="1"/>
    <col min="1136" max="1136" width="6.109375" bestFit="1" customWidth="1"/>
    <col min="1137" max="1137" width="7.5546875" bestFit="1" customWidth="1"/>
    <col min="1138" max="1140" width="6.109375" bestFit="1" customWidth="1"/>
    <col min="1141" max="1142" width="7.5546875" bestFit="1" customWidth="1"/>
    <col min="1143" max="1145" width="6.109375" bestFit="1" customWidth="1"/>
    <col min="1146" max="1146" width="7.5546875" bestFit="1" customWidth="1"/>
    <col min="1147" max="1149" width="6.109375" bestFit="1" customWidth="1"/>
    <col min="1150" max="1151" width="7.5546875" bestFit="1" customWidth="1"/>
    <col min="1152" max="1153" width="6.109375" bestFit="1" customWidth="1"/>
    <col min="1154" max="1154" width="7.5546875" bestFit="1" customWidth="1"/>
    <col min="1155" max="1156" width="6.109375" bestFit="1" customWidth="1"/>
    <col min="1157" max="1157" width="7.5546875" bestFit="1" customWidth="1"/>
    <col min="1158" max="1158" width="6.109375" bestFit="1" customWidth="1"/>
    <col min="1159" max="1159" width="7.5546875" bestFit="1" customWidth="1"/>
    <col min="1160" max="1177" width="6.109375" bestFit="1" customWidth="1"/>
    <col min="1178" max="1178" width="9" bestFit="1" customWidth="1"/>
    <col min="1179" max="1185" width="7.5546875" bestFit="1" customWidth="1"/>
    <col min="1186" max="1186" width="9" bestFit="1" customWidth="1"/>
    <col min="1187" max="1215" width="7.5546875" bestFit="1" customWidth="1"/>
    <col min="1216" max="1216" width="9" bestFit="1" customWidth="1"/>
    <col min="1217" max="1227" width="7.5546875" bestFit="1" customWidth="1"/>
    <col min="1228" max="1228" width="18.77734375" bestFit="1" customWidth="1"/>
    <col min="1229" max="1229" width="7.5546875" bestFit="1" customWidth="1"/>
    <col min="1230" max="1230" width="6.109375" bestFit="1" customWidth="1"/>
    <col min="1231" max="1231" width="7.5546875" bestFit="1" customWidth="1"/>
    <col min="1232" max="1234" width="6.109375" bestFit="1" customWidth="1"/>
    <col min="1235" max="1236" width="7.5546875" bestFit="1" customWidth="1"/>
    <col min="1237" max="1239" width="6.109375" bestFit="1" customWidth="1"/>
    <col min="1240" max="1240" width="7.5546875" bestFit="1" customWidth="1"/>
    <col min="1241" max="1243" width="6.109375" bestFit="1" customWidth="1"/>
    <col min="1244" max="1245" width="7.5546875" bestFit="1" customWidth="1"/>
    <col min="1246" max="1247" width="6.109375" bestFit="1" customWidth="1"/>
    <col min="1248" max="1248" width="7.5546875" bestFit="1" customWidth="1"/>
    <col min="1249" max="1250" width="6.109375" bestFit="1" customWidth="1"/>
    <col min="1251" max="1251" width="7.5546875" bestFit="1" customWidth="1"/>
    <col min="1252" max="1252" width="6.109375" bestFit="1" customWidth="1"/>
    <col min="1253" max="1253" width="7.5546875" bestFit="1" customWidth="1"/>
    <col min="1254" max="1271" width="6.109375" bestFit="1" customWidth="1"/>
    <col min="1272" max="1272" width="9" bestFit="1" customWidth="1"/>
    <col min="1273" max="1279" width="7.5546875" bestFit="1" customWidth="1"/>
    <col min="1280" max="1280" width="9" bestFit="1" customWidth="1"/>
    <col min="1281" max="1309" width="7.5546875" bestFit="1" customWidth="1"/>
    <col min="1310" max="1310" width="9" bestFit="1" customWidth="1"/>
    <col min="1311" max="1321" width="7.5546875" bestFit="1" customWidth="1"/>
    <col min="1322" max="1322" width="6.109375" bestFit="1" customWidth="1"/>
    <col min="1323" max="1323" width="7.5546875" bestFit="1" customWidth="1"/>
    <col min="1324" max="1324" width="6.109375" bestFit="1" customWidth="1"/>
    <col min="1325" max="1325" width="7.5546875" bestFit="1" customWidth="1"/>
    <col min="1326" max="1328" width="6.109375" bestFit="1" customWidth="1"/>
    <col min="1329" max="1330" width="7.5546875" bestFit="1" customWidth="1"/>
    <col min="1331" max="1333" width="6.109375" bestFit="1" customWidth="1"/>
    <col min="1334" max="1334" width="7.5546875" bestFit="1" customWidth="1"/>
    <col min="1335" max="1337" width="6.109375" bestFit="1" customWidth="1"/>
    <col min="1338" max="1339" width="7.5546875" bestFit="1" customWidth="1"/>
    <col min="1340" max="1341" width="6.109375" bestFit="1" customWidth="1"/>
    <col min="1342" max="1342" width="7.5546875" bestFit="1" customWidth="1"/>
    <col min="1343" max="1344" width="6.109375" bestFit="1" customWidth="1"/>
    <col min="1345" max="1345" width="7.5546875" bestFit="1" customWidth="1"/>
    <col min="1346" max="1346" width="6.109375" bestFit="1" customWidth="1"/>
    <col min="1347" max="1347" width="7.5546875" bestFit="1" customWidth="1"/>
    <col min="1348" max="1365" width="6.109375" bestFit="1" customWidth="1"/>
    <col min="1366" max="1366" width="9" bestFit="1" customWidth="1"/>
    <col min="1367" max="1373" width="7.5546875" bestFit="1" customWidth="1"/>
    <col min="1374" max="1374" width="9" bestFit="1" customWidth="1"/>
    <col min="1375" max="1403" width="7.5546875" bestFit="1" customWidth="1"/>
    <col min="1404" max="1404" width="9" bestFit="1" customWidth="1"/>
    <col min="1405" max="1415" width="7.5546875" bestFit="1" customWidth="1"/>
    <col min="1416" max="1416" width="18.77734375" bestFit="1" customWidth="1"/>
    <col min="1417" max="1417" width="7.5546875" bestFit="1" customWidth="1"/>
    <col min="1418" max="1418" width="6.109375" bestFit="1" customWidth="1"/>
    <col min="1419" max="1419" width="7.5546875" bestFit="1" customWidth="1"/>
    <col min="1420" max="1422" width="6.109375" bestFit="1" customWidth="1"/>
    <col min="1423" max="1424" width="7.5546875" bestFit="1" customWidth="1"/>
    <col min="1425" max="1427" width="6.109375" bestFit="1" customWidth="1"/>
    <col min="1428" max="1428" width="7.5546875" bestFit="1" customWidth="1"/>
    <col min="1429" max="1431" width="6.109375" bestFit="1" customWidth="1"/>
    <col min="1432" max="1433" width="7.5546875" bestFit="1" customWidth="1"/>
    <col min="1434" max="1435" width="6.109375" bestFit="1" customWidth="1"/>
    <col min="1436" max="1436" width="7.5546875" bestFit="1" customWidth="1"/>
    <col min="1437" max="1438" width="6.109375" bestFit="1" customWidth="1"/>
    <col min="1439" max="1439" width="7.5546875" bestFit="1" customWidth="1"/>
    <col min="1440" max="1440" width="6.109375" bestFit="1" customWidth="1"/>
    <col min="1441" max="1441" width="7.5546875" bestFit="1" customWidth="1"/>
    <col min="1442" max="1459" width="6.109375" bestFit="1" customWidth="1"/>
    <col min="1460" max="1460" width="9" bestFit="1" customWidth="1"/>
    <col min="1461" max="1467" width="7.5546875" bestFit="1" customWidth="1"/>
    <col min="1468" max="1468" width="9" bestFit="1" customWidth="1"/>
    <col min="1469" max="1497" width="7.5546875" bestFit="1" customWidth="1"/>
    <col min="1498" max="1498" width="9" bestFit="1" customWidth="1"/>
    <col min="1499" max="1509" width="7.5546875" bestFit="1" customWidth="1"/>
    <col min="1510" max="1510" width="8.5546875" bestFit="1" customWidth="1"/>
    <col min="1511" max="1511" width="7.5546875" bestFit="1" customWidth="1"/>
    <col min="1512" max="1512" width="6.109375" bestFit="1" customWidth="1"/>
    <col min="1513" max="1513" width="7.5546875" bestFit="1" customWidth="1"/>
    <col min="1514" max="1516" width="6.109375" bestFit="1" customWidth="1"/>
    <col min="1517" max="1518" width="7.5546875" bestFit="1" customWidth="1"/>
    <col min="1519" max="1521" width="6.109375" bestFit="1" customWidth="1"/>
    <col min="1522" max="1522" width="7.5546875" bestFit="1" customWidth="1"/>
    <col min="1523" max="1525" width="6.109375" bestFit="1" customWidth="1"/>
    <col min="1526" max="1527" width="7.5546875" bestFit="1" customWidth="1"/>
    <col min="1528" max="1529" width="6.109375" bestFit="1" customWidth="1"/>
    <col min="1530" max="1530" width="7.5546875" bestFit="1" customWidth="1"/>
    <col min="1531" max="1532" width="6.109375" bestFit="1" customWidth="1"/>
    <col min="1533" max="1533" width="7.5546875" bestFit="1" customWidth="1"/>
    <col min="1534" max="1534" width="6.109375" bestFit="1" customWidth="1"/>
    <col min="1535" max="1535" width="7.5546875" bestFit="1" customWidth="1"/>
    <col min="1536" max="1553" width="6.109375" bestFit="1" customWidth="1"/>
    <col min="1554" max="1554" width="9" bestFit="1" customWidth="1"/>
    <col min="1555" max="1561" width="7.5546875" bestFit="1" customWidth="1"/>
    <col min="1562" max="1562" width="9" bestFit="1" customWidth="1"/>
    <col min="1563" max="1591" width="7.5546875" bestFit="1" customWidth="1"/>
    <col min="1592" max="1592" width="9" bestFit="1" customWidth="1"/>
    <col min="1593" max="1603" width="7.5546875" bestFit="1" customWidth="1"/>
    <col min="1604" max="1604" width="10" bestFit="1" customWidth="1"/>
    <col min="1605" max="1605" width="7.5546875" bestFit="1" customWidth="1"/>
    <col min="1606" max="1606" width="6.109375" bestFit="1" customWidth="1"/>
    <col min="1607" max="1607" width="7.5546875" bestFit="1" customWidth="1"/>
    <col min="1608" max="1610" width="6.109375" bestFit="1" customWidth="1"/>
    <col min="1611" max="1612" width="7.5546875" bestFit="1" customWidth="1"/>
    <col min="1613" max="1615" width="6.109375" bestFit="1" customWidth="1"/>
    <col min="1616" max="1616" width="7.5546875" bestFit="1" customWidth="1"/>
    <col min="1617" max="1619" width="6.109375" bestFit="1" customWidth="1"/>
    <col min="1620" max="1621" width="7.5546875" bestFit="1" customWidth="1"/>
    <col min="1622" max="1623" width="6.109375" bestFit="1" customWidth="1"/>
    <col min="1624" max="1624" width="7.5546875" bestFit="1" customWidth="1"/>
    <col min="1625" max="1626" width="6.109375" bestFit="1" customWidth="1"/>
    <col min="1627" max="1627" width="7.5546875" bestFit="1" customWidth="1"/>
    <col min="1628" max="1628" width="6.109375" bestFit="1" customWidth="1"/>
    <col min="1629" max="1629" width="7.5546875" bestFit="1" customWidth="1"/>
    <col min="1630" max="1647" width="6.109375" bestFit="1" customWidth="1"/>
    <col min="1648" max="1648" width="9" bestFit="1" customWidth="1"/>
    <col min="1649" max="1655" width="7.5546875" bestFit="1" customWidth="1"/>
    <col min="1656" max="1656" width="9" bestFit="1" customWidth="1"/>
    <col min="1657" max="1685" width="7.5546875" bestFit="1" customWidth="1"/>
    <col min="1686" max="1686" width="9" bestFit="1" customWidth="1"/>
    <col min="1687" max="1697" width="7.5546875" bestFit="1" customWidth="1"/>
    <col min="1698" max="1698" width="18.77734375" bestFit="1" customWidth="1"/>
    <col min="1699" max="1699" width="7.5546875" bestFit="1" customWidth="1"/>
    <col min="1700" max="1700" width="6.109375" bestFit="1" customWidth="1"/>
    <col min="1701" max="1701" width="7.5546875" bestFit="1" customWidth="1"/>
    <col min="1702" max="1704" width="6.109375" bestFit="1" customWidth="1"/>
    <col min="1705" max="1706" width="7.5546875" bestFit="1" customWidth="1"/>
    <col min="1707" max="1709" width="6.109375" bestFit="1" customWidth="1"/>
    <col min="1710" max="1710" width="7.5546875" bestFit="1" customWidth="1"/>
    <col min="1711" max="1713" width="6.109375" bestFit="1" customWidth="1"/>
    <col min="1714" max="1715" width="7.5546875" bestFit="1" customWidth="1"/>
    <col min="1716" max="1717" width="6.109375" bestFit="1" customWidth="1"/>
    <col min="1718" max="1718" width="7.5546875" bestFit="1" customWidth="1"/>
    <col min="1719" max="1720" width="6.109375" bestFit="1" customWidth="1"/>
    <col min="1721" max="1721" width="7.5546875" bestFit="1" customWidth="1"/>
    <col min="1722" max="1722" width="6.109375" bestFit="1" customWidth="1"/>
    <col min="1723" max="1723" width="7.5546875" bestFit="1" customWidth="1"/>
    <col min="1724" max="1741" width="6.109375" bestFit="1" customWidth="1"/>
    <col min="1742" max="1742" width="9" bestFit="1" customWidth="1"/>
    <col min="1743" max="1749" width="7.5546875" bestFit="1" customWidth="1"/>
    <col min="1750" max="1750" width="9" bestFit="1" customWidth="1"/>
    <col min="1751" max="1779" width="7.5546875" bestFit="1" customWidth="1"/>
    <col min="1780" max="1780" width="9" bestFit="1" customWidth="1"/>
    <col min="1781" max="1791" width="7.5546875" bestFit="1" customWidth="1"/>
    <col min="1792" max="1792" width="8.5546875" bestFit="1" customWidth="1"/>
    <col min="1793" max="1793" width="7.5546875" bestFit="1" customWidth="1"/>
    <col min="1794" max="1794" width="6.109375" bestFit="1" customWidth="1"/>
    <col min="1795" max="1795" width="7.5546875" bestFit="1" customWidth="1"/>
    <col min="1796" max="1798" width="6.109375" bestFit="1" customWidth="1"/>
    <col min="1799" max="1800" width="7.5546875" bestFit="1" customWidth="1"/>
    <col min="1801" max="1803" width="6.109375" bestFit="1" customWidth="1"/>
    <col min="1804" max="1804" width="7.5546875" bestFit="1" customWidth="1"/>
    <col min="1805" max="1807" width="6.109375" bestFit="1" customWidth="1"/>
    <col min="1808" max="1809" width="7.5546875" bestFit="1" customWidth="1"/>
    <col min="1810" max="1811" width="6.109375" bestFit="1" customWidth="1"/>
    <col min="1812" max="1812" width="7.5546875" bestFit="1" customWidth="1"/>
    <col min="1813" max="1814" width="6.109375" bestFit="1" customWidth="1"/>
    <col min="1815" max="1815" width="7.5546875" bestFit="1" customWidth="1"/>
    <col min="1816" max="1816" width="6.109375" bestFit="1" customWidth="1"/>
    <col min="1817" max="1817" width="7.5546875" bestFit="1" customWidth="1"/>
    <col min="1818" max="1835" width="6.109375" bestFit="1" customWidth="1"/>
    <col min="1836" max="1836" width="9" bestFit="1" customWidth="1"/>
    <col min="1837" max="1843" width="7.5546875" bestFit="1" customWidth="1"/>
    <col min="1844" max="1844" width="9" bestFit="1" customWidth="1"/>
    <col min="1845" max="1873" width="7.5546875" bestFit="1" customWidth="1"/>
    <col min="1874" max="1874" width="9" bestFit="1" customWidth="1"/>
    <col min="1875" max="1885" width="7.5546875" bestFit="1" customWidth="1"/>
    <col min="1886" max="1886" width="6.109375" bestFit="1" customWidth="1"/>
    <col min="1887" max="1887" width="7.5546875" bestFit="1" customWidth="1"/>
    <col min="1888" max="1888" width="6.109375" bestFit="1" customWidth="1"/>
    <col min="1889" max="1889" width="7.5546875" bestFit="1" customWidth="1"/>
    <col min="1890" max="1892" width="6.109375" bestFit="1" customWidth="1"/>
    <col min="1893" max="1894" width="7.5546875" bestFit="1" customWidth="1"/>
    <col min="1895" max="1897" width="6.109375" bestFit="1" customWidth="1"/>
    <col min="1898" max="1898" width="7.5546875" bestFit="1" customWidth="1"/>
    <col min="1899" max="1901" width="6.109375" bestFit="1" customWidth="1"/>
    <col min="1902" max="1903" width="7.5546875" bestFit="1" customWidth="1"/>
    <col min="1904" max="1905" width="6.109375" bestFit="1" customWidth="1"/>
    <col min="1906" max="1906" width="7.5546875" bestFit="1" customWidth="1"/>
    <col min="1907" max="1908" width="6.109375" bestFit="1" customWidth="1"/>
    <col min="1909" max="1909" width="7.5546875" bestFit="1" customWidth="1"/>
    <col min="1910" max="1910" width="6.109375" bestFit="1" customWidth="1"/>
    <col min="1911" max="1911" width="7.5546875" bestFit="1" customWidth="1"/>
    <col min="1912" max="1929" width="6.109375" bestFit="1" customWidth="1"/>
    <col min="1930" max="1930" width="9" bestFit="1" customWidth="1"/>
    <col min="1931" max="1937" width="7.5546875" bestFit="1" customWidth="1"/>
    <col min="1938" max="1938" width="9" bestFit="1" customWidth="1"/>
    <col min="1939" max="1967" width="7.5546875" bestFit="1" customWidth="1"/>
    <col min="1968" max="1968" width="9" bestFit="1" customWidth="1"/>
    <col min="1969" max="1979" width="7.5546875" bestFit="1" customWidth="1"/>
    <col min="1980" max="1980" width="18.77734375" bestFit="1" customWidth="1"/>
    <col min="1981" max="1981" width="7.5546875" bestFit="1" customWidth="1"/>
    <col min="1982" max="1982" width="6.109375" bestFit="1" customWidth="1"/>
    <col min="1983" max="1983" width="7.5546875" bestFit="1" customWidth="1"/>
    <col min="1984" max="1986" width="6.109375" bestFit="1" customWidth="1"/>
    <col min="1987" max="1988" width="7.5546875" bestFit="1" customWidth="1"/>
    <col min="1989" max="1991" width="6.109375" bestFit="1" customWidth="1"/>
    <col min="1992" max="1992" width="7.5546875" bestFit="1" customWidth="1"/>
    <col min="1993" max="1995" width="6.109375" bestFit="1" customWidth="1"/>
    <col min="1996" max="1997" width="7.5546875" bestFit="1" customWidth="1"/>
    <col min="1998" max="1999" width="6.109375" bestFit="1" customWidth="1"/>
    <col min="2000" max="2000" width="7.5546875" bestFit="1" customWidth="1"/>
    <col min="2001" max="2002" width="6.109375" bestFit="1" customWidth="1"/>
    <col min="2003" max="2003" width="7.5546875" bestFit="1" customWidth="1"/>
    <col min="2004" max="2004" width="6.109375" bestFit="1" customWidth="1"/>
    <col min="2005" max="2005" width="7.5546875" bestFit="1" customWidth="1"/>
    <col min="2006" max="2023" width="6.109375" bestFit="1" customWidth="1"/>
    <col min="2024" max="2024" width="9" bestFit="1" customWidth="1"/>
    <col min="2025" max="2031" width="7.5546875" bestFit="1" customWidth="1"/>
    <col min="2032" max="2032" width="9" bestFit="1" customWidth="1"/>
    <col min="2033" max="2061" width="7.5546875" bestFit="1" customWidth="1"/>
    <col min="2062" max="2062" width="9" bestFit="1" customWidth="1"/>
    <col min="2063" max="2073" width="7.5546875" bestFit="1" customWidth="1"/>
    <col min="2074" max="2074" width="11.44140625" bestFit="1" customWidth="1"/>
    <col min="2075" max="2075" width="7.5546875" bestFit="1" customWidth="1"/>
    <col min="2076" max="2076" width="6.109375" bestFit="1" customWidth="1"/>
    <col min="2077" max="2077" width="7.5546875" bestFit="1" customWidth="1"/>
    <col min="2078" max="2080" width="6.109375" bestFit="1" customWidth="1"/>
    <col min="2081" max="2082" width="7.5546875" bestFit="1" customWidth="1"/>
    <col min="2083" max="2085" width="6.109375" bestFit="1" customWidth="1"/>
    <col min="2086" max="2086" width="7.5546875" bestFit="1" customWidth="1"/>
    <col min="2087" max="2089" width="6.109375" bestFit="1" customWidth="1"/>
    <col min="2090" max="2091" width="7.5546875" bestFit="1" customWidth="1"/>
    <col min="2092" max="2093" width="6.109375" bestFit="1" customWidth="1"/>
    <col min="2094" max="2094" width="7.5546875" bestFit="1" customWidth="1"/>
    <col min="2095" max="2096" width="6.109375" bestFit="1" customWidth="1"/>
    <col min="2097" max="2097" width="7.5546875" bestFit="1" customWidth="1"/>
    <col min="2098" max="2098" width="6.109375" bestFit="1" customWidth="1"/>
    <col min="2099" max="2099" width="7.5546875" bestFit="1" customWidth="1"/>
    <col min="2100" max="2117" width="6.109375" bestFit="1" customWidth="1"/>
    <col min="2118" max="2118" width="9" bestFit="1" customWidth="1"/>
    <col min="2119" max="2125" width="7.5546875" bestFit="1" customWidth="1"/>
    <col min="2126" max="2126" width="9" bestFit="1" customWidth="1"/>
    <col min="2127" max="2155" width="7.5546875" bestFit="1" customWidth="1"/>
    <col min="2156" max="2156" width="9" bestFit="1" customWidth="1"/>
    <col min="2157" max="2167" width="7.5546875" bestFit="1" customWidth="1"/>
    <col min="2168" max="2168" width="6.109375" bestFit="1" customWidth="1"/>
    <col min="2169" max="2169" width="7.5546875" bestFit="1" customWidth="1"/>
    <col min="2170" max="2170" width="6.109375" bestFit="1" customWidth="1"/>
    <col min="2171" max="2171" width="7.5546875" bestFit="1" customWidth="1"/>
    <col min="2172" max="2174" width="6.109375" bestFit="1" customWidth="1"/>
    <col min="2175" max="2176" width="7.5546875" bestFit="1" customWidth="1"/>
    <col min="2177" max="2179" width="6.109375" bestFit="1" customWidth="1"/>
    <col min="2180" max="2180" width="7.5546875" bestFit="1" customWidth="1"/>
    <col min="2181" max="2183" width="6.109375" bestFit="1" customWidth="1"/>
    <col min="2184" max="2185" width="7.5546875" bestFit="1" customWidth="1"/>
    <col min="2186" max="2187" width="6.109375" bestFit="1" customWidth="1"/>
    <col min="2188" max="2188" width="7.5546875" bestFit="1" customWidth="1"/>
    <col min="2189" max="2190" width="6.109375" bestFit="1" customWidth="1"/>
    <col min="2191" max="2191" width="7.5546875" bestFit="1" customWidth="1"/>
    <col min="2192" max="2192" width="6.109375" bestFit="1" customWidth="1"/>
    <col min="2193" max="2193" width="7.5546875" bestFit="1" customWidth="1"/>
    <col min="2194" max="2211" width="6.109375" bestFit="1" customWidth="1"/>
    <col min="2212" max="2212" width="9" bestFit="1" customWidth="1"/>
    <col min="2213" max="2219" width="7.5546875" bestFit="1" customWidth="1"/>
    <col min="2220" max="2220" width="9" bestFit="1" customWidth="1"/>
    <col min="2221" max="2249" width="7.5546875" bestFit="1" customWidth="1"/>
    <col min="2250" max="2250" width="9" bestFit="1" customWidth="1"/>
    <col min="2251" max="2261" width="7.5546875" bestFit="1" customWidth="1"/>
    <col min="2262" max="2262" width="10" bestFit="1" customWidth="1"/>
    <col min="2263" max="2263" width="7.5546875" bestFit="1" customWidth="1"/>
    <col min="2264" max="2264" width="6.109375" bestFit="1" customWidth="1"/>
    <col min="2265" max="2265" width="7.5546875" bestFit="1" customWidth="1"/>
    <col min="2266" max="2268" width="6.109375" bestFit="1" customWidth="1"/>
    <col min="2269" max="2270" width="7.5546875" bestFit="1" customWidth="1"/>
    <col min="2271" max="2273" width="6.109375" bestFit="1" customWidth="1"/>
    <col min="2274" max="2274" width="7.5546875" bestFit="1" customWidth="1"/>
    <col min="2275" max="2277" width="6.109375" bestFit="1" customWidth="1"/>
    <col min="2278" max="2279" width="7.5546875" bestFit="1" customWidth="1"/>
    <col min="2280" max="2281" width="6.109375" bestFit="1" customWidth="1"/>
    <col min="2282" max="2282" width="7.5546875" bestFit="1" customWidth="1"/>
    <col min="2283" max="2284" width="6.109375" bestFit="1" customWidth="1"/>
    <col min="2285" max="2285" width="7.5546875" bestFit="1" customWidth="1"/>
    <col min="2286" max="2286" width="6.109375" bestFit="1" customWidth="1"/>
    <col min="2287" max="2287" width="7.5546875" bestFit="1" customWidth="1"/>
    <col min="2288" max="2305" width="6.109375" bestFit="1" customWidth="1"/>
    <col min="2306" max="2306" width="9" bestFit="1" customWidth="1"/>
    <col min="2307" max="2313" width="7.5546875" bestFit="1" customWidth="1"/>
    <col min="2314" max="2314" width="9" bestFit="1" customWidth="1"/>
    <col min="2315" max="2343" width="7.5546875" bestFit="1" customWidth="1"/>
    <col min="2344" max="2344" width="9" bestFit="1" customWidth="1"/>
    <col min="2345" max="2355" width="7.5546875" bestFit="1" customWidth="1"/>
    <col min="2356" max="2356" width="18.77734375" bestFit="1" customWidth="1"/>
    <col min="2357" max="2357" width="7.5546875" bestFit="1" customWidth="1"/>
    <col min="2358" max="2358" width="6.109375" bestFit="1" customWidth="1"/>
    <col min="2359" max="2359" width="7.5546875" bestFit="1" customWidth="1"/>
    <col min="2360" max="2362" width="6.109375" bestFit="1" customWidth="1"/>
    <col min="2363" max="2364" width="7.5546875" bestFit="1" customWidth="1"/>
    <col min="2365" max="2367" width="6.109375" bestFit="1" customWidth="1"/>
    <col min="2368" max="2368" width="7.5546875" bestFit="1" customWidth="1"/>
    <col min="2369" max="2371" width="6.109375" bestFit="1" customWidth="1"/>
    <col min="2372" max="2373" width="7.5546875" bestFit="1" customWidth="1"/>
    <col min="2374" max="2375" width="6.109375" bestFit="1" customWidth="1"/>
    <col min="2376" max="2376" width="7.5546875" bestFit="1" customWidth="1"/>
    <col min="2377" max="2378" width="6.109375" bestFit="1" customWidth="1"/>
    <col min="2379" max="2379" width="7.5546875" bestFit="1" customWidth="1"/>
    <col min="2380" max="2380" width="6.109375" bestFit="1" customWidth="1"/>
    <col min="2381" max="2381" width="7.5546875" bestFit="1" customWidth="1"/>
    <col min="2382" max="2399" width="6.109375" bestFit="1" customWidth="1"/>
    <col min="2400" max="2400" width="9" bestFit="1" customWidth="1"/>
    <col min="2401" max="2407" width="7.5546875" bestFit="1" customWidth="1"/>
    <col min="2408" max="2408" width="9" bestFit="1" customWidth="1"/>
    <col min="2409" max="2437" width="7.5546875" bestFit="1" customWidth="1"/>
    <col min="2438" max="2438" width="9" bestFit="1" customWidth="1"/>
    <col min="2439" max="2449" width="7.5546875" bestFit="1" customWidth="1"/>
    <col min="2450" max="2450" width="18.77734375" bestFit="1" customWidth="1"/>
    <col min="2451" max="2451" width="7.5546875" bestFit="1" customWidth="1"/>
    <col min="2452" max="2452" width="6.109375" bestFit="1" customWidth="1"/>
    <col min="2453" max="2453" width="7.5546875" bestFit="1" customWidth="1"/>
    <col min="2454" max="2456" width="6.109375" bestFit="1" customWidth="1"/>
    <col min="2457" max="2458" width="7.5546875" bestFit="1" customWidth="1"/>
    <col min="2459" max="2461" width="6.109375" bestFit="1" customWidth="1"/>
    <col min="2462" max="2462" width="7.5546875" bestFit="1" customWidth="1"/>
    <col min="2463" max="2465" width="6.109375" bestFit="1" customWidth="1"/>
    <col min="2466" max="2467" width="7.5546875" bestFit="1" customWidth="1"/>
    <col min="2468" max="2469" width="6.109375" bestFit="1" customWidth="1"/>
    <col min="2470" max="2470" width="7.5546875" bestFit="1" customWidth="1"/>
    <col min="2471" max="2472" width="6.109375" bestFit="1" customWidth="1"/>
    <col min="2473" max="2473" width="7.5546875" bestFit="1" customWidth="1"/>
    <col min="2474" max="2474" width="6.109375" bestFit="1" customWidth="1"/>
    <col min="2475" max="2475" width="7.5546875" bestFit="1" customWidth="1"/>
    <col min="2476" max="2493" width="6.109375" bestFit="1" customWidth="1"/>
    <col min="2494" max="2494" width="9" bestFit="1" customWidth="1"/>
    <col min="2495" max="2501" width="7.5546875" bestFit="1" customWidth="1"/>
    <col min="2502" max="2502" width="9" bestFit="1" customWidth="1"/>
    <col min="2503" max="2531" width="7.5546875" bestFit="1" customWidth="1"/>
    <col min="2532" max="2532" width="9" bestFit="1" customWidth="1"/>
    <col min="2533" max="2543" width="7.5546875" bestFit="1" customWidth="1"/>
    <col min="2544" max="2544" width="10" bestFit="1" customWidth="1"/>
    <col min="2545" max="2545" width="7.5546875" bestFit="1" customWidth="1"/>
    <col min="2546" max="2546" width="6.109375" bestFit="1" customWidth="1"/>
    <col min="2547" max="2547" width="7.5546875" bestFit="1" customWidth="1"/>
    <col min="2548" max="2550" width="6.109375" bestFit="1" customWidth="1"/>
    <col min="2551" max="2552" width="7.5546875" bestFit="1" customWidth="1"/>
    <col min="2553" max="2555" width="6.109375" bestFit="1" customWidth="1"/>
    <col min="2556" max="2556" width="7.5546875" bestFit="1" customWidth="1"/>
    <col min="2557" max="2559" width="6.109375" bestFit="1" customWidth="1"/>
    <col min="2560" max="2561" width="7.5546875" bestFit="1" customWidth="1"/>
    <col min="2562" max="2563" width="6.109375" bestFit="1" customWidth="1"/>
    <col min="2564" max="2564" width="7.5546875" bestFit="1" customWidth="1"/>
    <col min="2565" max="2566" width="6.109375" bestFit="1" customWidth="1"/>
    <col min="2567" max="2567" width="7.5546875" bestFit="1" customWidth="1"/>
    <col min="2568" max="2568" width="6.109375" bestFit="1" customWidth="1"/>
    <col min="2569" max="2569" width="7.5546875" bestFit="1" customWidth="1"/>
    <col min="2570" max="2587" width="6.109375" bestFit="1" customWidth="1"/>
    <col min="2588" max="2588" width="9" bestFit="1" customWidth="1"/>
    <col min="2589" max="2595" width="7.5546875" bestFit="1" customWidth="1"/>
    <col min="2596" max="2596" width="9" bestFit="1" customWidth="1"/>
    <col min="2597" max="2625" width="7.5546875" bestFit="1" customWidth="1"/>
    <col min="2626" max="2626" width="9" bestFit="1" customWidth="1"/>
    <col min="2627" max="2637" width="7.5546875" bestFit="1" customWidth="1"/>
    <col min="2638" max="2638" width="8.5546875" bestFit="1" customWidth="1"/>
    <col min="2639" max="2639" width="7.5546875" bestFit="1" customWidth="1"/>
    <col min="2640" max="2640" width="6.109375" bestFit="1" customWidth="1"/>
    <col min="2641" max="2641" width="7.5546875" bestFit="1" customWidth="1"/>
    <col min="2642" max="2644" width="6.109375" bestFit="1" customWidth="1"/>
    <col min="2645" max="2646" width="7.5546875" bestFit="1" customWidth="1"/>
    <col min="2647" max="2649" width="6.109375" bestFit="1" customWidth="1"/>
    <col min="2650" max="2650" width="7.5546875" bestFit="1" customWidth="1"/>
    <col min="2651" max="2653" width="6.109375" bestFit="1" customWidth="1"/>
    <col min="2654" max="2655" width="7.5546875" bestFit="1" customWidth="1"/>
    <col min="2656" max="2657" width="6.109375" bestFit="1" customWidth="1"/>
    <col min="2658" max="2658" width="7.5546875" bestFit="1" customWidth="1"/>
    <col min="2659" max="2660" width="6.109375" bestFit="1" customWidth="1"/>
    <col min="2661" max="2661" width="7.5546875" bestFit="1" customWidth="1"/>
    <col min="2662" max="2662" width="6.109375" bestFit="1" customWidth="1"/>
    <col min="2663" max="2663" width="7.5546875" bestFit="1" customWidth="1"/>
    <col min="2664" max="2681" width="6.109375" bestFit="1" customWidth="1"/>
    <col min="2682" max="2682" width="9" bestFit="1" customWidth="1"/>
    <col min="2683" max="2689" width="7.5546875" bestFit="1" customWidth="1"/>
    <col min="2690" max="2690" width="9" bestFit="1" customWidth="1"/>
    <col min="2691" max="2719" width="7.5546875" bestFit="1" customWidth="1"/>
    <col min="2720" max="2720" width="9" bestFit="1" customWidth="1"/>
    <col min="2721" max="2731" width="7.5546875" bestFit="1" customWidth="1"/>
    <col min="2732" max="2732" width="18.77734375" bestFit="1" customWidth="1"/>
    <col min="2733" max="2733" width="7.5546875" bestFit="1" customWidth="1"/>
    <col min="2734" max="2734" width="6.109375" bestFit="1" customWidth="1"/>
    <col min="2735" max="2735" width="7.5546875" bestFit="1" customWidth="1"/>
    <col min="2736" max="2738" width="6.109375" bestFit="1" customWidth="1"/>
    <col min="2739" max="2740" width="7.5546875" bestFit="1" customWidth="1"/>
    <col min="2741" max="2743" width="6.109375" bestFit="1" customWidth="1"/>
    <col min="2744" max="2744" width="7.5546875" bestFit="1" customWidth="1"/>
    <col min="2745" max="2747" width="6.109375" bestFit="1" customWidth="1"/>
    <col min="2748" max="2749" width="7.5546875" bestFit="1" customWidth="1"/>
    <col min="2750" max="2751" width="6.109375" bestFit="1" customWidth="1"/>
    <col min="2752" max="2752" width="7.5546875" bestFit="1" customWidth="1"/>
    <col min="2753" max="2754" width="6.109375" bestFit="1" customWidth="1"/>
    <col min="2755" max="2755" width="7.5546875" bestFit="1" customWidth="1"/>
    <col min="2756" max="2756" width="6.109375" bestFit="1" customWidth="1"/>
    <col min="2757" max="2757" width="7.5546875" bestFit="1" customWidth="1"/>
    <col min="2758" max="2775" width="6.109375" bestFit="1" customWidth="1"/>
    <col min="2776" max="2776" width="9" bestFit="1" customWidth="1"/>
    <col min="2777" max="2783" width="7.5546875" bestFit="1" customWidth="1"/>
    <col min="2784" max="2784" width="9" bestFit="1" customWidth="1"/>
    <col min="2785" max="2813" width="7.5546875" bestFit="1" customWidth="1"/>
    <col min="2814" max="2814" width="9" bestFit="1" customWidth="1"/>
    <col min="2815" max="2825" width="7.5546875" bestFit="1" customWidth="1"/>
    <col min="2826" max="2826" width="10" bestFit="1" customWidth="1"/>
    <col min="2827" max="2827" width="7.5546875" bestFit="1" customWidth="1"/>
    <col min="2828" max="2828" width="6.109375" bestFit="1" customWidth="1"/>
    <col min="2829" max="2829" width="7.5546875" bestFit="1" customWidth="1"/>
    <col min="2830" max="2832" width="6.109375" bestFit="1" customWidth="1"/>
    <col min="2833" max="2834" width="7.5546875" bestFit="1" customWidth="1"/>
    <col min="2835" max="2837" width="6.109375" bestFit="1" customWidth="1"/>
    <col min="2838" max="2838" width="7.5546875" bestFit="1" customWidth="1"/>
    <col min="2839" max="2841" width="6.109375" bestFit="1" customWidth="1"/>
    <col min="2842" max="2843" width="7.5546875" bestFit="1" customWidth="1"/>
    <col min="2844" max="2845" width="6.109375" bestFit="1" customWidth="1"/>
    <col min="2846" max="2846" width="7.5546875" bestFit="1" customWidth="1"/>
    <col min="2847" max="2848" width="6.109375" bestFit="1" customWidth="1"/>
    <col min="2849" max="2849" width="7.5546875" bestFit="1" customWidth="1"/>
    <col min="2850" max="2850" width="6.109375" bestFit="1" customWidth="1"/>
    <col min="2851" max="2851" width="7.5546875" bestFit="1" customWidth="1"/>
    <col min="2852" max="2869" width="6.109375" bestFit="1" customWidth="1"/>
    <col min="2870" max="2870" width="9" bestFit="1" customWidth="1"/>
    <col min="2871" max="2877" width="7.5546875" bestFit="1" customWidth="1"/>
    <col min="2878" max="2878" width="9" bestFit="1" customWidth="1"/>
    <col min="2879" max="2907" width="7.5546875" bestFit="1" customWidth="1"/>
    <col min="2908" max="2908" width="9" bestFit="1" customWidth="1"/>
    <col min="2909" max="2919" width="7.5546875" bestFit="1" customWidth="1"/>
    <col min="2920" max="2920" width="18.77734375" bestFit="1" customWidth="1"/>
    <col min="2921" max="2921" width="7.5546875" bestFit="1" customWidth="1"/>
    <col min="2922" max="2922" width="6.109375" bestFit="1" customWidth="1"/>
    <col min="2923" max="2923" width="7.5546875" bestFit="1" customWidth="1"/>
    <col min="2924" max="2926" width="6.109375" bestFit="1" customWidth="1"/>
    <col min="2927" max="2928" width="7.5546875" bestFit="1" customWidth="1"/>
    <col min="2929" max="2931" width="6.109375" bestFit="1" customWidth="1"/>
    <col min="2932" max="2932" width="7.5546875" bestFit="1" customWidth="1"/>
    <col min="2933" max="2935" width="6.109375" bestFit="1" customWidth="1"/>
    <col min="2936" max="2937" width="7.5546875" bestFit="1" customWidth="1"/>
    <col min="2938" max="2939" width="6.109375" bestFit="1" customWidth="1"/>
    <col min="2940" max="2940" width="7.5546875" bestFit="1" customWidth="1"/>
    <col min="2941" max="2942" width="6.109375" bestFit="1" customWidth="1"/>
    <col min="2943" max="2943" width="7.5546875" bestFit="1" customWidth="1"/>
    <col min="2944" max="2944" width="6.109375" bestFit="1" customWidth="1"/>
    <col min="2945" max="2945" width="7.5546875" bestFit="1" customWidth="1"/>
    <col min="2946" max="2963" width="6.109375" bestFit="1" customWidth="1"/>
    <col min="2964" max="2964" width="9" bestFit="1" customWidth="1"/>
    <col min="2965" max="2971" width="7.5546875" bestFit="1" customWidth="1"/>
    <col min="2972" max="2972" width="9" bestFit="1" customWidth="1"/>
    <col min="2973" max="3001" width="7.5546875" bestFit="1" customWidth="1"/>
    <col min="3002" max="3002" width="9" bestFit="1" customWidth="1"/>
    <col min="3003" max="3013" width="7.5546875" bestFit="1" customWidth="1"/>
    <col min="3014" max="3014" width="18.77734375" bestFit="1" customWidth="1"/>
    <col min="3015" max="3015" width="7.5546875" bestFit="1" customWidth="1"/>
    <col min="3016" max="3016" width="6.109375" bestFit="1" customWidth="1"/>
    <col min="3017" max="3017" width="7.5546875" bestFit="1" customWidth="1"/>
    <col min="3018" max="3020" width="6.109375" bestFit="1" customWidth="1"/>
    <col min="3021" max="3022" width="7.5546875" bestFit="1" customWidth="1"/>
    <col min="3023" max="3025" width="6.109375" bestFit="1" customWidth="1"/>
    <col min="3026" max="3026" width="7.5546875" bestFit="1" customWidth="1"/>
    <col min="3027" max="3029" width="6.109375" bestFit="1" customWidth="1"/>
    <col min="3030" max="3031" width="7.5546875" bestFit="1" customWidth="1"/>
    <col min="3032" max="3033" width="6.109375" bestFit="1" customWidth="1"/>
    <col min="3034" max="3034" width="7.5546875" bestFit="1" customWidth="1"/>
    <col min="3035" max="3036" width="6.109375" bestFit="1" customWidth="1"/>
    <col min="3037" max="3037" width="7.5546875" bestFit="1" customWidth="1"/>
    <col min="3038" max="3038" width="6.109375" bestFit="1" customWidth="1"/>
    <col min="3039" max="3039" width="7.5546875" bestFit="1" customWidth="1"/>
    <col min="3040" max="3057" width="6.109375" bestFit="1" customWidth="1"/>
    <col min="3058" max="3058" width="9" bestFit="1" customWidth="1"/>
    <col min="3059" max="3065" width="7.5546875" bestFit="1" customWidth="1"/>
    <col min="3066" max="3066" width="9" bestFit="1" customWidth="1"/>
    <col min="3067" max="3095" width="7.5546875" bestFit="1" customWidth="1"/>
    <col min="3096" max="3096" width="9" bestFit="1" customWidth="1"/>
    <col min="3097" max="3107" width="7.5546875" bestFit="1" customWidth="1"/>
    <col min="3108" max="3108" width="6.109375" bestFit="1" customWidth="1"/>
    <col min="3109" max="3109" width="7.5546875" bestFit="1" customWidth="1"/>
    <col min="3110" max="3110" width="6.109375" bestFit="1" customWidth="1"/>
    <col min="3111" max="3111" width="7.5546875" bestFit="1" customWidth="1"/>
    <col min="3112" max="3114" width="6.109375" bestFit="1" customWidth="1"/>
    <col min="3115" max="3116" width="7.5546875" bestFit="1" customWidth="1"/>
    <col min="3117" max="3119" width="6.109375" bestFit="1" customWidth="1"/>
    <col min="3120" max="3120" width="7.5546875" bestFit="1" customWidth="1"/>
    <col min="3121" max="3123" width="6.109375" bestFit="1" customWidth="1"/>
    <col min="3124" max="3125" width="7.5546875" bestFit="1" customWidth="1"/>
    <col min="3126" max="3127" width="6.109375" bestFit="1" customWidth="1"/>
    <col min="3128" max="3128" width="7.5546875" bestFit="1" customWidth="1"/>
    <col min="3129" max="3130" width="6.109375" bestFit="1" customWidth="1"/>
    <col min="3131" max="3131" width="7.5546875" bestFit="1" customWidth="1"/>
    <col min="3132" max="3132" width="6.109375" bestFit="1" customWidth="1"/>
    <col min="3133" max="3133" width="7.5546875" bestFit="1" customWidth="1"/>
    <col min="3134" max="3151" width="6.109375" bestFit="1" customWidth="1"/>
    <col min="3152" max="3152" width="9" bestFit="1" customWidth="1"/>
    <col min="3153" max="3159" width="7.5546875" bestFit="1" customWidth="1"/>
    <col min="3160" max="3160" width="9" bestFit="1" customWidth="1"/>
    <col min="3161" max="3189" width="7.5546875" bestFit="1" customWidth="1"/>
    <col min="3190" max="3190" width="9" bestFit="1" customWidth="1"/>
    <col min="3191" max="3201" width="7.5546875" bestFit="1" customWidth="1"/>
    <col min="3202" max="3202" width="18.77734375" bestFit="1" customWidth="1"/>
    <col min="3203" max="3203" width="7.5546875" bestFit="1" customWidth="1"/>
    <col min="3204" max="3204" width="6.109375" bestFit="1" customWidth="1"/>
    <col min="3205" max="3205" width="7.5546875" bestFit="1" customWidth="1"/>
    <col min="3206" max="3208" width="6.109375" bestFit="1" customWidth="1"/>
    <col min="3209" max="3210" width="7.5546875" bestFit="1" customWidth="1"/>
    <col min="3211" max="3213" width="6.109375" bestFit="1" customWidth="1"/>
    <col min="3214" max="3214" width="7.5546875" bestFit="1" customWidth="1"/>
    <col min="3215" max="3217" width="6.109375" bestFit="1" customWidth="1"/>
    <col min="3218" max="3219" width="7.5546875" bestFit="1" customWidth="1"/>
    <col min="3220" max="3221" width="6.109375" bestFit="1" customWidth="1"/>
    <col min="3222" max="3222" width="7.5546875" bestFit="1" customWidth="1"/>
    <col min="3223" max="3224" width="6.109375" bestFit="1" customWidth="1"/>
    <col min="3225" max="3225" width="7.5546875" bestFit="1" customWidth="1"/>
    <col min="3226" max="3226" width="6.109375" bestFit="1" customWidth="1"/>
    <col min="3227" max="3227" width="7.5546875" bestFit="1" customWidth="1"/>
    <col min="3228" max="3245" width="6.109375" bestFit="1" customWidth="1"/>
    <col min="3246" max="3246" width="9" bestFit="1" customWidth="1"/>
    <col min="3247" max="3253" width="7.5546875" bestFit="1" customWidth="1"/>
    <col min="3254" max="3254" width="9" bestFit="1" customWidth="1"/>
    <col min="3255" max="3283" width="7.5546875" bestFit="1" customWidth="1"/>
    <col min="3284" max="3284" width="9" bestFit="1" customWidth="1"/>
    <col min="3285" max="3295" width="7.5546875" bestFit="1" customWidth="1"/>
    <col min="3296" max="3296" width="18.77734375" bestFit="1" customWidth="1"/>
    <col min="3297" max="3297" width="7.5546875" bestFit="1" customWidth="1"/>
    <col min="3298" max="3298" width="6.109375" bestFit="1" customWidth="1"/>
    <col min="3299" max="3299" width="7.5546875" bestFit="1" customWidth="1"/>
    <col min="3300" max="3302" width="6.109375" bestFit="1" customWidth="1"/>
    <col min="3303" max="3304" width="7.5546875" bestFit="1" customWidth="1"/>
    <col min="3305" max="3307" width="6.109375" bestFit="1" customWidth="1"/>
    <col min="3308" max="3308" width="7.5546875" bestFit="1" customWidth="1"/>
    <col min="3309" max="3311" width="6.109375" bestFit="1" customWidth="1"/>
    <col min="3312" max="3313" width="7.5546875" bestFit="1" customWidth="1"/>
    <col min="3314" max="3315" width="6.109375" bestFit="1" customWidth="1"/>
    <col min="3316" max="3316" width="7.5546875" bestFit="1" customWidth="1"/>
    <col min="3317" max="3318" width="6.109375" bestFit="1" customWidth="1"/>
    <col min="3319" max="3319" width="7.5546875" bestFit="1" customWidth="1"/>
    <col min="3320" max="3320" width="6.109375" bestFit="1" customWidth="1"/>
    <col min="3321" max="3321" width="7.5546875" bestFit="1" customWidth="1"/>
    <col min="3322" max="3339" width="6.109375" bestFit="1" customWidth="1"/>
    <col min="3340" max="3340" width="9" bestFit="1" customWidth="1"/>
    <col min="3341" max="3347" width="7.5546875" bestFit="1" customWidth="1"/>
    <col min="3348" max="3348" width="9" bestFit="1" customWidth="1"/>
    <col min="3349" max="3377" width="7.5546875" bestFit="1" customWidth="1"/>
    <col min="3378" max="3378" width="9" bestFit="1" customWidth="1"/>
    <col min="3379" max="3389" width="7.5546875" bestFit="1" customWidth="1"/>
    <col min="3390" max="3390" width="8.5546875" bestFit="1" customWidth="1"/>
    <col min="3391" max="3391" width="7.5546875" bestFit="1" customWidth="1"/>
    <col min="3392" max="3392" width="6.109375" bestFit="1" customWidth="1"/>
    <col min="3393" max="3393" width="7.5546875" bestFit="1" customWidth="1"/>
    <col min="3394" max="3396" width="6.109375" bestFit="1" customWidth="1"/>
    <col min="3397" max="3398" width="7.5546875" bestFit="1" customWidth="1"/>
    <col min="3399" max="3401" width="6.109375" bestFit="1" customWidth="1"/>
    <col min="3402" max="3402" width="7.5546875" bestFit="1" customWidth="1"/>
    <col min="3403" max="3405" width="6.109375" bestFit="1" customWidth="1"/>
    <col min="3406" max="3407" width="7.5546875" bestFit="1" customWidth="1"/>
    <col min="3408" max="3409" width="6.109375" bestFit="1" customWidth="1"/>
    <col min="3410" max="3410" width="7.5546875" bestFit="1" customWidth="1"/>
    <col min="3411" max="3412" width="6.109375" bestFit="1" customWidth="1"/>
    <col min="3413" max="3413" width="7.5546875" bestFit="1" customWidth="1"/>
    <col min="3414" max="3414" width="6.109375" bestFit="1" customWidth="1"/>
    <col min="3415" max="3415" width="7.5546875" bestFit="1" customWidth="1"/>
    <col min="3416" max="3433" width="6.109375" bestFit="1" customWidth="1"/>
    <col min="3434" max="3434" width="9" bestFit="1" customWidth="1"/>
    <col min="3435" max="3441" width="7.5546875" bestFit="1" customWidth="1"/>
    <col min="3442" max="3442" width="9" bestFit="1" customWidth="1"/>
    <col min="3443" max="3471" width="7.5546875" bestFit="1" customWidth="1"/>
    <col min="3472" max="3472" width="9" bestFit="1" customWidth="1"/>
    <col min="3473" max="3483" width="7.5546875" bestFit="1" customWidth="1"/>
    <col min="3484" max="3484" width="18.77734375" bestFit="1" customWidth="1"/>
    <col min="3485" max="3485" width="7.5546875" bestFit="1" customWidth="1"/>
    <col min="3486" max="3486" width="6.109375" bestFit="1" customWidth="1"/>
    <col min="3487" max="3487" width="7.5546875" bestFit="1" customWidth="1"/>
    <col min="3488" max="3490" width="6.109375" bestFit="1" customWidth="1"/>
    <col min="3491" max="3492" width="7.5546875" bestFit="1" customWidth="1"/>
    <col min="3493" max="3495" width="6.109375" bestFit="1" customWidth="1"/>
    <col min="3496" max="3496" width="7.5546875" bestFit="1" customWidth="1"/>
    <col min="3497" max="3499" width="6.109375" bestFit="1" customWidth="1"/>
    <col min="3500" max="3501" width="7.5546875" bestFit="1" customWidth="1"/>
    <col min="3502" max="3503" width="6.109375" bestFit="1" customWidth="1"/>
    <col min="3504" max="3504" width="7.5546875" bestFit="1" customWidth="1"/>
    <col min="3505" max="3506" width="6.109375" bestFit="1" customWidth="1"/>
    <col min="3507" max="3507" width="7.5546875" bestFit="1" customWidth="1"/>
    <col min="3508" max="3508" width="6.109375" bestFit="1" customWidth="1"/>
    <col min="3509" max="3509" width="7.5546875" bestFit="1" customWidth="1"/>
    <col min="3510" max="3527" width="6.109375" bestFit="1" customWidth="1"/>
    <col min="3528" max="3528" width="9" bestFit="1" customWidth="1"/>
    <col min="3529" max="3535" width="7.5546875" bestFit="1" customWidth="1"/>
    <col min="3536" max="3536" width="9" bestFit="1" customWidth="1"/>
    <col min="3537" max="3565" width="7.5546875" bestFit="1" customWidth="1"/>
    <col min="3566" max="3566" width="9" bestFit="1" customWidth="1"/>
    <col min="3567" max="3577" width="7.5546875" bestFit="1" customWidth="1"/>
    <col min="3578" max="3578" width="8.5546875" bestFit="1" customWidth="1"/>
    <col min="3579" max="3579" width="7.5546875" bestFit="1" customWidth="1"/>
    <col min="3580" max="3580" width="6.109375" bestFit="1" customWidth="1"/>
    <col min="3581" max="3581" width="7.5546875" bestFit="1" customWidth="1"/>
    <col min="3582" max="3584" width="6.109375" bestFit="1" customWidth="1"/>
    <col min="3585" max="3586" width="7.5546875" bestFit="1" customWidth="1"/>
    <col min="3587" max="3589" width="6.109375" bestFit="1" customWidth="1"/>
    <col min="3590" max="3590" width="7.5546875" bestFit="1" customWidth="1"/>
    <col min="3591" max="3593" width="6.109375" bestFit="1" customWidth="1"/>
    <col min="3594" max="3595" width="7.5546875" bestFit="1" customWidth="1"/>
    <col min="3596" max="3597" width="6.109375" bestFit="1" customWidth="1"/>
    <col min="3598" max="3598" width="7.5546875" bestFit="1" customWidth="1"/>
    <col min="3599" max="3600" width="6.109375" bestFit="1" customWidth="1"/>
    <col min="3601" max="3601" width="7.5546875" bestFit="1" customWidth="1"/>
    <col min="3602" max="3602" width="6.109375" bestFit="1" customWidth="1"/>
    <col min="3603" max="3603" width="7.5546875" bestFit="1" customWidth="1"/>
    <col min="3604" max="3621" width="6.109375" bestFit="1" customWidth="1"/>
    <col min="3622" max="3622" width="9" bestFit="1" customWidth="1"/>
    <col min="3623" max="3629" width="7.5546875" bestFit="1" customWidth="1"/>
    <col min="3630" max="3630" width="9" bestFit="1" customWidth="1"/>
    <col min="3631" max="3659" width="7.5546875" bestFit="1" customWidth="1"/>
    <col min="3660" max="3660" width="9" bestFit="1" customWidth="1"/>
    <col min="3661" max="3671" width="7.5546875" bestFit="1" customWidth="1"/>
    <col min="3672" max="3672" width="18.77734375" bestFit="1" customWidth="1"/>
    <col min="3673" max="3673" width="7.5546875" bestFit="1" customWidth="1"/>
    <col min="3674" max="3674" width="6.109375" bestFit="1" customWidth="1"/>
    <col min="3675" max="3675" width="7.5546875" bestFit="1" customWidth="1"/>
    <col min="3676" max="3678" width="6.109375" bestFit="1" customWidth="1"/>
    <col min="3679" max="3680" width="7.5546875" bestFit="1" customWidth="1"/>
    <col min="3681" max="3683" width="6.109375" bestFit="1" customWidth="1"/>
    <col min="3684" max="3684" width="7.5546875" bestFit="1" customWidth="1"/>
    <col min="3685" max="3687" width="6.109375" bestFit="1" customWidth="1"/>
    <col min="3688" max="3689" width="7.5546875" bestFit="1" customWidth="1"/>
    <col min="3690" max="3691" width="6.109375" bestFit="1" customWidth="1"/>
    <col min="3692" max="3692" width="7.5546875" bestFit="1" customWidth="1"/>
    <col min="3693" max="3694" width="6.109375" bestFit="1" customWidth="1"/>
    <col min="3695" max="3695" width="7.5546875" bestFit="1" customWidth="1"/>
    <col min="3696" max="3696" width="6.109375" bestFit="1" customWidth="1"/>
    <col min="3697" max="3697" width="7.5546875" bestFit="1" customWidth="1"/>
    <col min="3698" max="3715" width="6.109375" bestFit="1" customWidth="1"/>
    <col min="3716" max="3716" width="9" bestFit="1" customWidth="1"/>
    <col min="3717" max="3723" width="7.5546875" bestFit="1" customWidth="1"/>
    <col min="3724" max="3724" width="9" bestFit="1" customWidth="1"/>
    <col min="3725" max="3753" width="7.5546875" bestFit="1" customWidth="1"/>
    <col min="3754" max="3754" width="9" bestFit="1" customWidth="1"/>
    <col min="3755" max="3765" width="7.5546875" bestFit="1" customWidth="1"/>
    <col min="3766" max="3766" width="10" bestFit="1" customWidth="1"/>
    <col min="3767" max="3767" width="7.5546875" bestFit="1" customWidth="1"/>
    <col min="3768" max="3768" width="6.109375" bestFit="1" customWidth="1"/>
    <col min="3769" max="3769" width="7.5546875" bestFit="1" customWidth="1"/>
    <col min="3770" max="3772" width="6.109375" bestFit="1" customWidth="1"/>
    <col min="3773" max="3774" width="7.5546875" bestFit="1" customWidth="1"/>
    <col min="3775" max="3777" width="6.109375" bestFit="1" customWidth="1"/>
    <col min="3778" max="3778" width="7.5546875" bestFit="1" customWidth="1"/>
    <col min="3779" max="3781" width="6.109375" bestFit="1" customWidth="1"/>
    <col min="3782" max="3783" width="7.5546875" bestFit="1" customWidth="1"/>
    <col min="3784" max="3785" width="6.109375" bestFit="1" customWidth="1"/>
    <col min="3786" max="3786" width="7.5546875" bestFit="1" customWidth="1"/>
    <col min="3787" max="3788" width="6.109375" bestFit="1" customWidth="1"/>
    <col min="3789" max="3789" width="7.5546875" bestFit="1" customWidth="1"/>
    <col min="3790" max="3790" width="6.109375" bestFit="1" customWidth="1"/>
    <col min="3791" max="3791" width="7.5546875" bestFit="1" customWidth="1"/>
    <col min="3792" max="3809" width="6.109375" bestFit="1" customWidth="1"/>
    <col min="3810" max="3810" width="9" bestFit="1" customWidth="1"/>
    <col min="3811" max="3817" width="7.5546875" bestFit="1" customWidth="1"/>
    <col min="3818" max="3818" width="9" bestFit="1" customWidth="1"/>
    <col min="3819" max="3847" width="7.5546875" bestFit="1" customWidth="1"/>
    <col min="3848" max="3848" width="9" bestFit="1" customWidth="1"/>
    <col min="3849" max="3859" width="7.5546875" bestFit="1" customWidth="1"/>
    <col min="3860" max="3860" width="18.77734375" bestFit="1" customWidth="1"/>
    <col min="3861" max="3861" width="7.5546875" bestFit="1" customWidth="1"/>
    <col min="3862" max="3862" width="6.109375" bestFit="1" customWidth="1"/>
    <col min="3863" max="3863" width="7.5546875" bestFit="1" customWidth="1"/>
    <col min="3864" max="3866" width="6.109375" bestFit="1" customWidth="1"/>
    <col min="3867" max="3868" width="7.5546875" bestFit="1" customWidth="1"/>
    <col min="3869" max="3871" width="6.109375" bestFit="1" customWidth="1"/>
    <col min="3872" max="3872" width="7.5546875" bestFit="1" customWidth="1"/>
    <col min="3873" max="3875" width="6.109375" bestFit="1" customWidth="1"/>
    <col min="3876" max="3877" width="7.5546875" bestFit="1" customWidth="1"/>
    <col min="3878" max="3879" width="6.109375" bestFit="1" customWidth="1"/>
    <col min="3880" max="3880" width="7.5546875" bestFit="1" customWidth="1"/>
    <col min="3881" max="3882" width="6.109375" bestFit="1" customWidth="1"/>
    <col min="3883" max="3883" width="7.5546875" bestFit="1" customWidth="1"/>
    <col min="3884" max="3884" width="6.109375" bestFit="1" customWidth="1"/>
    <col min="3885" max="3885" width="7.5546875" bestFit="1" customWidth="1"/>
    <col min="3886" max="3903" width="6.109375" bestFit="1" customWidth="1"/>
    <col min="3904" max="3904" width="9" bestFit="1" customWidth="1"/>
    <col min="3905" max="3911" width="7.5546875" bestFit="1" customWidth="1"/>
    <col min="3912" max="3912" width="9" bestFit="1" customWidth="1"/>
    <col min="3913" max="3941" width="7.5546875" bestFit="1" customWidth="1"/>
    <col min="3942" max="3942" width="9" bestFit="1" customWidth="1"/>
    <col min="3943" max="3953" width="7.5546875" bestFit="1" customWidth="1"/>
    <col min="3954" max="3954" width="8.5546875" bestFit="1" customWidth="1"/>
    <col min="3955" max="3955" width="7.5546875" bestFit="1" customWidth="1"/>
    <col min="3956" max="3956" width="6.109375" bestFit="1" customWidth="1"/>
    <col min="3957" max="3957" width="7.5546875" bestFit="1" customWidth="1"/>
    <col min="3958" max="3960" width="6.109375" bestFit="1" customWidth="1"/>
    <col min="3961" max="3962" width="7.5546875" bestFit="1" customWidth="1"/>
    <col min="3963" max="3965" width="6.109375" bestFit="1" customWidth="1"/>
    <col min="3966" max="3966" width="7.5546875" bestFit="1" customWidth="1"/>
    <col min="3967" max="3969" width="6.109375" bestFit="1" customWidth="1"/>
    <col min="3970" max="3971" width="7.5546875" bestFit="1" customWidth="1"/>
    <col min="3972" max="3973" width="6.109375" bestFit="1" customWidth="1"/>
    <col min="3974" max="3974" width="7.5546875" bestFit="1" customWidth="1"/>
    <col min="3975" max="3976" width="6.109375" bestFit="1" customWidth="1"/>
    <col min="3977" max="3977" width="7.5546875" bestFit="1" customWidth="1"/>
    <col min="3978" max="3978" width="6.109375" bestFit="1" customWidth="1"/>
    <col min="3979" max="3979" width="7.5546875" bestFit="1" customWidth="1"/>
    <col min="3980" max="3997" width="6.109375" bestFit="1" customWidth="1"/>
    <col min="3998" max="3998" width="9" bestFit="1" customWidth="1"/>
    <col min="3999" max="4005" width="7.5546875" bestFit="1" customWidth="1"/>
    <col min="4006" max="4006" width="9" bestFit="1" customWidth="1"/>
    <col min="4007" max="4035" width="7.5546875" bestFit="1" customWidth="1"/>
    <col min="4036" max="4036" width="9" bestFit="1" customWidth="1"/>
    <col min="4037" max="4047" width="7.5546875" bestFit="1" customWidth="1"/>
    <col min="4048" max="4048" width="18.77734375" bestFit="1" customWidth="1"/>
    <col min="4049" max="4049" width="7.5546875" bestFit="1" customWidth="1"/>
    <col min="4050" max="4050" width="6.109375" bestFit="1" customWidth="1"/>
    <col min="4051" max="4051" width="7.5546875" bestFit="1" customWidth="1"/>
    <col min="4052" max="4054" width="6.109375" bestFit="1" customWidth="1"/>
    <col min="4055" max="4056" width="7.5546875" bestFit="1" customWidth="1"/>
    <col min="4057" max="4059" width="6.109375" bestFit="1" customWidth="1"/>
    <col min="4060" max="4060" width="7.5546875" bestFit="1" customWidth="1"/>
    <col min="4061" max="4063" width="6.109375" bestFit="1" customWidth="1"/>
    <col min="4064" max="4065" width="7.5546875" bestFit="1" customWidth="1"/>
    <col min="4066" max="4067" width="6.109375" bestFit="1" customWidth="1"/>
    <col min="4068" max="4068" width="7.5546875" bestFit="1" customWidth="1"/>
    <col min="4069" max="4070" width="6.109375" bestFit="1" customWidth="1"/>
    <col min="4071" max="4071" width="7.5546875" bestFit="1" customWidth="1"/>
    <col min="4072" max="4072" width="6.109375" bestFit="1" customWidth="1"/>
    <col min="4073" max="4073" width="7.5546875" bestFit="1" customWidth="1"/>
    <col min="4074" max="4091" width="6.109375" bestFit="1" customWidth="1"/>
    <col min="4092" max="4092" width="9" bestFit="1" customWidth="1"/>
    <col min="4093" max="4099" width="7.5546875" bestFit="1" customWidth="1"/>
    <col min="4100" max="4100" width="9" bestFit="1" customWidth="1"/>
    <col min="4101" max="4129" width="7.5546875" bestFit="1" customWidth="1"/>
    <col min="4130" max="4130" width="9" bestFit="1" customWidth="1"/>
    <col min="4131" max="4141" width="7.5546875" bestFit="1" customWidth="1"/>
    <col min="4142" max="4142" width="8.5546875" bestFit="1" customWidth="1"/>
    <col min="4143" max="4143" width="7.5546875" bestFit="1" customWidth="1"/>
    <col min="4144" max="4144" width="6.109375" bestFit="1" customWidth="1"/>
    <col min="4145" max="4145" width="7.5546875" bestFit="1" customWidth="1"/>
    <col min="4146" max="4148" width="6.109375" bestFit="1" customWidth="1"/>
    <col min="4149" max="4150" width="7.5546875" bestFit="1" customWidth="1"/>
    <col min="4151" max="4153" width="6.109375" bestFit="1" customWidth="1"/>
    <col min="4154" max="4154" width="7.5546875" bestFit="1" customWidth="1"/>
    <col min="4155" max="4157" width="6.109375" bestFit="1" customWidth="1"/>
    <col min="4158" max="4159" width="7.5546875" bestFit="1" customWidth="1"/>
    <col min="4160" max="4161" width="6.109375" bestFit="1" customWidth="1"/>
    <col min="4162" max="4162" width="7.5546875" bestFit="1" customWidth="1"/>
    <col min="4163" max="4164" width="6.109375" bestFit="1" customWidth="1"/>
    <col min="4165" max="4165" width="7.5546875" bestFit="1" customWidth="1"/>
    <col min="4166" max="4166" width="6.109375" bestFit="1" customWidth="1"/>
    <col min="4167" max="4167" width="7.5546875" bestFit="1" customWidth="1"/>
    <col min="4168" max="4185" width="6.109375" bestFit="1" customWidth="1"/>
    <col min="4186" max="4186" width="9" bestFit="1" customWidth="1"/>
    <col min="4187" max="4193" width="7.5546875" bestFit="1" customWidth="1"/>
    <col min="4194" max="4194" width="9" bestFit="1" customWidth="1"/>
    <col min="4195" max="4223" width="7.5546875" bestFit="1" customWidth="1"/>
    <col min="4224" max="4224" width="9" bestFit="1" customWidth="1"/>
    <col min="4225" max="4235" width="7.5546875" bestFit="1" customWidth="1"/>
    <col min="4236" max="4236" width="18.77734375" bestFit="1" customWidth="1"/>
    <col min="4237" max="4237" width="7.5546875" bestFit="1" customWidth="1"/>
    <col min="4238" max="4238" width="6.109375" bestFit="1" customWidth="1"/>
    <col min="4239" max="4239" width="7.5546875" bestFit="1" customWidth="1"/>
    <col min="4240" max="4242" width="6.109375" bestFit="1" customWidth="1"/>
    <col min="4243" max="4244" width="7.5546875" bestFit="1" customWidth="1"/>
    <col min="4245" max="4247" width="6.109375" bestFit="1" customWidth="1"/>
    <col min="4248" max="4248" width="7.5546875" bestFit="1" customWidth="1"/>
    <col min="4249" max="4251" width="6.109375" bestFit="1" customWidth="1"/>
    <col min="4252" max="4253" width="7.5546875" bestFit="1" customWidth="1"/>
    <col min="4254" max="4255" width="6.109375" bestFit="1" customWidth="1"/>
    <col min="4256" max="4256" width="7.5546875" bestFit="1" customWidth="1"/>
    <col min="4257" max="4258" width="6.109375" bestFit="1" customWidth="1"/>
    <col min="4259" max="4259" width="7.5546875" bestFit="1" customWidth="1"/>
    <col min="4260" max="4260" width="6.109375" bestFit="1" customWidth="1"/>
    <col min="4261" max="4261" width="7.5546875" bestFit="1" customWidth="1"/>
    <col min="4262" max="4279" width="6.109375" bestFit="1" customWidth="1"/>
    <col min="4280" max="4280" width="9" bestFit="1" customWidth="1"/>
    <col min="4281" max="4287" width="7.5546875" bestFit="1" customWidth="1"/>
    <col min="4288" max="4288" width="9" bestFit="1" customWidth="1"/>
    <col min="4289" max="4317" width="7.5546875" bestFit="1" customWidth="1"/>
    <col min="4318" max="4318" width="9" bestFit="1" customWidth="1"/>
    <col min="4319" max="4329" width="7.5546875" bestFit="1" customWidth="1"/>
    <col min="4330" max="4330" width="8.5546875" bestFit="1" customWidth="1"/>
    <col min="4331" max="4331" width="7.5546875" bestFit="1" customWidth="1"/>
    <col min="4332" max="4332" width="6.109375" bestFit="1" customWidth="1"/>
    <col min="4333" max="4333" width="7.5546875" bestFit="1" customWidth="1"/>
    <col min="4334" max="4336" width="6.109375" bestFit="1" customWidth="1"/>
    <col min="4337" max="4338" width="7.5546875" bestFit="1" customWidth="1"/>
    <col min="4339" max="4341" width="6.109375" bestFit="1" customWidth="1"/>
    <col min="4342" max="4342" width="7.5546875" bestFit="1" customWidth="1"/>
    <col min="4343" max="4345" width="6.109375" bestFit="1" customWidth="1"/>
    <col min="4346" max="4347" width="7.5546875" bestFit="1" customWidth="1"/>
    <col min="4348" max="4349" width="6.109375" bestFit="1" customWidth="1"/>
    <col min="4350" max="4350" width="7.5546875" bestFit="1" customWidth="1"/>
    <col min="4351" max="4352" width="6.109375" bestFit="1" customWidth="1"/>
    <col min="4353" max="4353" width="7.5546875" bestFit="1" customWidth="1"/>
    <col min="4354" max="4354" width="6.109375" bestFit="1" customWidth="1"/>
    <col min="4355" max="4355" width="7.5546875" bestFit="1" customWidth="1"/>
    <col min="4356" max="4373" width="6.109375" bestFit="1" customWidth="1"/>
    <col min="4374" max="4374" width="9" bestFit="1" customWidth="1"/>
    <col min="4375" max="4381" width="7.5546875" bestFit="1" customWidth="1"/>
    <col min="4382" max="4382" width="9" bestFit="1" customWidth="1"/>
    <col min="4383" max="4411" width="7.5546875" bestFit="1" customWidth="1"/>
    <col min="4412" max="4412" width="9" bestFit="1" customWidth="1"/>
    <col min="4413" max="4423" width="7.5546875" bestFit="1" customWidth="1"/>
    <col min="4424" max="4424" width="18.77734375" bestFit="1" customWidth="1"/>
    <col min="4425" max="4425" width="7.5546875" bestFit="1" customWidth="1"/>
    <col min="4426" max="4426" width="6.109375" bestFit="1" customWidth="1"/>
    <col min="4427" max="4427" width="7.5546875" bestFit="1" customWidth="1"/>
    <col min="4428" max="4430" width="6.109375" bestFit="1" customWidth="1"/>
    <col min="4431" max="4432" width="7.5546875" bestFit="1" customWidth="1"/>
    <col min="4433" max="4435" width="6.109375" bestFit="1" customWidth="1"/>
    <col min="4436" max="4436" width="7.5546875" bestFit="1" customWidth="1"/>
    <col min="4437" max="4439" width="6.109375" bestFit="1" customWidth="1"/>
    <col min="4440" max="4441" width="7.5546875" bestFit="1" customWidth="1"/>
    <col min="4442" max="4443" width="6.109375" bestFit="1" customWidth="1"/>
    <col min="4444" max="4444" width="7.5546875" bestFit="1" customWidth="1"/>
    <col min="4445" max="4446" width="6.109375" bestFit="1" customWidth="1"/>
    <col min="4447" max="4447" width="7.5546875" bestFit="1" customWidth="1"/>
    <col min="4448" max="4448" width="6.109375" bestFit="1" customWidth="1"/>
    <col min="4449" max="4449" width="7.5546875" bestFit="1" customWidth="1"/>
    <col min="4450" max="4467" width="6.109375" bestFit="1" customWidth="1"/>
    <col min="4468" max="4468" width="9" bestFit="1" customWidth="1"/>
    <col min="4469" max="4475" width="7.5546875" bestFit="1" customWidth="1"/>
    <col min="4476" max="4476" width="9" bestFit="1" customWidth="1"/>
    <col min="4477" max="4505" width="7.5546875" bestFit="1" customWidth="1"/>
    <col min="4506" max="4506" width="9" bestFit="1" customWidth="1"/>
    <col min="4507" max="4517" width="7.5546875" bestFit="1" customWidth="1"/>
    <col min="4518" max="4518" width="10" bestFit="1" customWidth="1"/>
    <col min="4519" max="4519" width="7.5546875" bestFit="1" customWidth="1"/>
    <col min="4520" max="4520" width="6.109375" bestFit="1" customWidth="1"/>
    <col min="4521" max="4521" width="7.5546875" bestFit="1" customWidth="1"/>
    <col min="4522" max="4524" width="6.109375" bestFit="1" customWidth="1"/>
    <col min="4525" max="4526" width="7.5546875" bestFit="1" customWidth="1"/>
    <col min="4527" max="4529" width="6.109375" bestFit="1" customWidth="1"/>
    <col min="4530" max="4530" width="7.5546875" bestFit="1" customWidth="1"/>
    <col min="4531" max="4533" width="6.109375" bestFit="1" customWidth="1"/>
    <col min="4534" max="4535" width="7.5546875" bestFit="1" customWidth="1"/>
    <col min="4536" max="4537" width="6.109375" bestFit="1" customWidth="1"/>
    <col min="4538" max="4538" width="7.5546875" bestFit="1" customWidth="1"/>
    <col min="4539" max="4540" width="6.109375" bestFit="1" customWidth="1"/>
    <col min="4541" max="4541" width="7.5546875" bestFit="1" customWidth="1"/>
    <col min="4542" max="4542" width="6.109375" bestFit="1" customWidth="1"/>
    <col min="4543" max="4543" width="7.5546875" bestFit="1" customWidth="1"/>
    <col min="4544" max="4561" width="6.109375" bestFit="1" customWidth="1"/>
    <col min="4562" max="4562" width="9" bestFit="1" customWidth="1"/>
    <col min="4563" max="4569" width="7.5546875" bestFit="1" customWidth="1"/>
    <col min="4570" max="4570" width="9" bestFit="1" customWidth="1"/>
    <col min="4571" max="4599" width="7.5546875" bestFit="1" customWidth="1"/>
    <col min="4600" max="4600" width="9" bestFit="1" customWidth="1"/>
    <col min="4601" max="4611" width="7.5546875" bestFit="1" customWidth="1"/>
    <col min="4612" max="4612" width="8.5546875" bestFit="1" customWidth="1"/>
    <col min="4613" max="4613" width="7.5546875" bestFit="1" customWidth="1"/>
    <col min="4614" max="4614" width="6.109375" bestFit="1" customWidth="1"/>
    <col min="4615" max="4615" width="7.5546875" bestFit="1" customWidth="1"/>
    <col min="4616" max="4618" width="6.109375" bestFit="1" customWidth="1"/>
    <col min="4619" max="4620" width="7.5546875" bestFit="1" customWidth="1"/>
    <col min="4621" max="4623" width="6.109375" bestFit="1" customWidth="1"/>
    <col min="4624" max="4624" width="7.5546875" bestFit="1" customWidth="1"/>
    <col min="4625" max="4627" width="6.109375" bestFit="1" customWidth="1"/>
    <col min="4628" max="4629" width="7.5546875" bestFit="1" customWidth="1"/>
    <col min="4630" max="4631" width="6.109375" bestFit="1" customWidth="1"/>
    <col min="4632" max="4632" width="7.5546875" bestFit="1" customWidth="1"/>
    <col min="4633" max="4634" width="6.109375" bestFit="1" customWidth="1"/>
    <col min="4635" max="4635" width="7.5546875" bestFit="1" customWidth="1"/>
    <col min="4636" max="4636" width="6.109375" bestFit="1" customWidth="1"/>
    <col min="4637" max="4637" width="7.5546875" bestFit="1" customWidth="1"/>
    <col min="4638" max="4655" width="6.109375" bestFit="1" customWidth="1"/>
    <col min="4656" max="4656" width="9" bestFit="1" customWidth="1"/>
    <col min="4657" max="4663" width="7.5546875" bestFit="1" customWidth="1"/>
    <col min="4664" max="4664" width="9" bestFit="1" customWidth="1"/>
    <col min="4665" max="4693" width="7.5546875" bestFit="1" customWidth="1"/>
    <col min="4694" max="4694" width="9" bestFit="1" customWidth="1"/>
    <col min="4695" max="4705" width="7.5546875" bestFit="1" customWidth="1"/>
    <col min="4706" max="4706" width="10" bestFit="1" customWidth="1"/>
    <col min="4707" max="4707" width="7.5546875" bestFit="1" customWidth="1"/>
    <col min="4708" max="4708" width="6.109375" bestFit="1" customWidth="1"/>
    <col min="4709" max="4709" width="7.5546875" bestFit="1" customWidth="1"/>
    <col min="4710" max="4712" width="6.109375" bestFit="1" customWidth="1"/>
    <col min="4713" max="4714" width="7.5546875" bestFit="1" customWidth="1"/>
    <col min="4715" max="4717" width="6.109375" bestFit="1" customWidth="1"/>
    <col min="4718" max="4718" width="7.5546875" bestFit="1" customWidth="1"/>
    <col min="4719" max="4721" width="6.109375" bestFit="1" customWidth="1"/>
    <col min="4722" max="4723" width="7.5546875" bestFit="1" customWidth="1"/>
    <col min="4724" max="4725" width="6.109375" bestFit="1" customWidth="1"/>
    <col min="4726" max="4726" width="7.5546875" bestFit="1" customWidth="1"/>
    <col min="4727" max="4728" width="6.109375" bestFit="1" customWidth="1"/>
    <col min="4729" max="4729" width="7.5546875" bestFit="1" customWidth="1"/>
    <col min="4730" max="4730" width="6.109375" bestFit="1" customWidth="1"/>
    <col min="4731" max="4731" width="7.5546875" bestFit="1" customWidth="1"/>
    <col min="4732" max="4749" width="6.109375" bestFit="1" customWidth="1"/>
    <col min="4750" max="4750" width="9" bestFit="1" customWidth="1"/>
    <col min="4751" max="4757" width="7.5546875" bestFit="1" customWidth="1"/>
    <col min="4758" max="4758" width="9" bestFit="1" customWidth="1"/>
    <col min="4759" max="4787" width="7.5546875" bestFit="1" customWidth="1"/>
    <col min="4788" max="4788" width="9" bestFit="1" customWidth="1"/>
    <col min="4789" max="4799" width="7.5546875" bestFit="1" customWidth="1"/>
    <col min="4800" max="4800" width="11.44140625" bestFit="1" customWidth="1"/>
    <col min="4801" max="4801" width="7.5546875" bestFit="1" customWidth="1"/>
    <col min="4802" max="4802" width="6.109375" bestFit="1" customWidth="1"/>
    <col min="4803" max="4803" width="7.5546875" bestFit="1" customWidth="1"/>
    <col min="4804" max="4806" width="6.109375" bestFit="1" customWidth="1"/>
    <col min="4807" max="4808" width="7.5546875" bestFit="1" customWidth="1"/>
    <col min="4809" max="4811" width="6.109375" bestFit="1" customWidth="1"/>
    <col min="4812" max="4812" width="7.5546875" bestFit="1" customWidth="1"/>
    <col min="4813" max="4815" width="6.109375" bestFit="1" customWidth="1"/>
    <col min="4816" max="4817" width="7.5546875" bestFit="1" customWidth="1"/>
    <col min="4818" max="4819" width="6.109375" bestFit="1" customWidth="1"/>
    <col min="4820" max="4820" width="7.5546875" bestFit="1" customWidth="1"/>
    <col min="4821" max="4822" width="6.109375" bestFit="1" customWidth="1"/>
    <col min="4823" max="4823" width="7.5546875" bestFit="1" customWidth="1"/>
    <col min="4824" max="4824" width="6.109375" bestFit="1" customWidth="1"/>
    <col min="4825" max="4825" width="7.5546875" bestFit="1" customWidth="1"/>
    <col min="4826" max="4843" width="6.109375" bestFit="1" customWidth="1"/>
    <col min="4844" max="4844" width="9" bestFit="1" customWidth="1"/>
    <col min="4845" max="4851" width="7.5546875" bestFit="1" customWidth="1"/>
    <col min="4852" max="4852" width="9" bestFit="1" customWidth="1"/>
    <col min="4853" max="4881" width="7.5546875" bestFit="1" customWidth="1"/>
    <col min="4882" max="4882" width="9" bestFit="1" customWidth="1"/>
    <col min="4883" max="4893" width="7.5546875" bestFit="1" customWidth="1"/>
    <col min="4894" max="4894" width="6.109375" bestFit="1" customWidth="1"/>
    <col min="4895" max="4895" width="7.5546875" bestFit="1" customWidth="1"/>
    <col min="4896" max="4896" width="6.109375" bestFit="1" customWidth="1"/>
    <col min="4897" max="4897" width="7.5546875" bestFit="1" customWidth="1"/>
    <col min="4898" max="4900" width="6.109375" bestFit="1" customWidth="1"/>
    <col min="4901" max="4902" width="7.5546875" bestFit="1" customWidth="1"/>
    <col min="4903" max="4905" width="6.109375" bestFit="1" customWidth="1"/>
    <col min="4906" max="4906" width="7.5546875" bestFit="1" customWidth="1"/>
    <col min="4907" max="4909" width="6.109375" bestFit="1" customWidth="1"/>
    <col min="4910" max="4911" width="7.5546875" bestFit="1" customWidth="1"/>
    <col min="4912" max="4913" width="6.109375" bestFit="1" customWidth="1"/>
    <col min="4914" max="4914" width="7.5546875" bestFit="1" customWidth="1"/>
    <col min="4915" max="4916" width="6.109375" bestFit="1" customWidth="1"/>
    <col min="4917" max="4917" width="7.5546875" bestFit="1" customWidth="1"/>
    <col min="4918" max="4918" width="6.109375" bestFit="1" customWidth="1"/>
    <col min="4919" max="4919" width="7.5546875" bestFit="1" customWidth="1"/>
    <col min="4920" max="4937" width="6.109375" bestFit="1" customWidth="1"/>
    <col min="4938" max="4938" width="9" bestFit="1" customWidth="1"/>
    <col min="4939" max="4945" width="7.5546875" bestFit="1" customWidth="1"/>
    <col min="4946" max="4946" width="9" bestFit="1" customWidth="1"/>
    <col min="4947" max="4975" width="7.5546875" bestFit="1" customWidth="1"/>
    <col min="4976" max="4976" width="9" bestFit="1" customWidth="1"/>
    <col min="4977" max="4987" width="7.5546875" bestFit="1" customWidth="1"/>
    <col min="4988" max="4988" width="8.5546875" bestFit="1" customWidth="1"/>
    <col min="4989" max="4989" width="7.5546875" bestFit="1" customWidth="1"/>
    <col min="4990" max="4990" width="6.109375" bestFit="1" customWidth="1"/>
    <col min="4991" max="4991" width="7.5546875" bestFit="1" customWidth="1"/>
    <col min="4992" max="4994" width="6.109375" bestFit="1" customWidth="1"/>
    <col min="4995" max="4996" width="7.5546875" bestFit="1" customWidth="1"/>
    <col min="4997" max="4999" width="6.109375" bestFit="1" customWidth="1"/>
    <col min="5000" max="5000" width="7.5546875" bestFit="1" customWidth="1"/>
    <col min="5001" max="5003" width="6.109375" bestFit="1" customWidth="1"/>
    <col min="5004" max="5005" width="7.5546875" bestFit="1" customWidth="1"/>
    <col min="5006" max="5007" width="6.109375" bestFit="1" customWidth="1"/>
    <col min="5008" max="5008" width="7.5546875" bestFit="1" customWidth="1"/>
    <col min="5009" max="5010" width="6.109375" bestFit="1" customWidth="1"/>
    <col min="5011" max="5011" width="7.5546875" bestFit="1" customWidth="1"/>
    <col min="5012" max="5012" width="6.109375" bestFit="1" customWidth="1"/>
    <col min="5013" max="5013" width="7.5546875" bestFit="1" customWidth="1"/>
    <col min="5014" max="5031" width="6.109375" bestFit="1" customWidth="1"/>
    <col min="5032" max="5032" width="9" bestFit="1" customWidth="1"/>
    <col min="5033" max="5039" width="7.5546875" bestFit="1" customWidth="1"/>
    <col min="5040" max="5040" width="9" bestFit="1" customWidth="1"/>
    <col min="5041" max="5069" width="7.5546875" bestFit="1" customWidth="1"/>
    <col min="5070" max="5070" width="9" bestFit="1" customWidth="1"/>
    <col min="5071" max="5081" width="7.5546875" bestFit="1" customWidth="1"/>
    <col min="5082" max="5082" width="6.109375" bestFit="1" customWidth="1"/>
    <col min="5083" max="5083" width="7.5546875" bestFit="1" customWidth="1"/>
    <col min="5084" max="5084" width="6.109375" bestFit="1" customWidth="1"/>
    <col min="5085" max="5085" width="7.5546875" bestFit="1" customWidth="1"/>
    <col min="5086" max="5088" width="6.109375" bestFit="1" customWidth="1"/>
    <col min="5089" max="5090" width="7.5546875" bestFit="1" customWidth="1"/>
    <col min="5091" max="5093" width="6.109375" bestFit="1" customWidth="1"/>
    <col min="5094" max="5094" width="7.5546875" bestFit="1" customWidth="1"/>
    <col min="5095" max="5097" width="6.109375" bestFit="1" customWidth="1"/>
    <col min="5098" max="5099" width="7.5546875" bestFit="1" customWidth="1"/>
    <col min="5100" max="5101" width="6.109375" bestFit="1" customWidth="1"/>
    <col min="5102" max="5102" width="7.5546875" bestFit="1" customWidth="1"/>
    <col min="5103" max="5104" width="6.109375" bestFit="1" customWidth="1"/>
    <col min="5105" max="5105" width="7.5546875" bestFit="1" customWidth="1"/>
    <col min="5106" max="5106" width="6.109375" bestFit="1" customWidth="1"/>
    <col min="5107" max="5107" width="7.5546875" bestFit="1" customWidth="1"/>
    <col min="5108" max="5125" width="6.109375" bestFit="1" customWidth="1"/>
    <col min="5126" max="5126" width="9" bestFit="1" customWidth="1"/>
    <col min="5127" max="5133" width="7.5546875" bestFit="1" customWidth="1"/>
    <col min="5134" max="5134" width="9" bestFit="1" customWidth="1"/>
    <col min="5135" max="5163" width="7.5546875" bestFit="1" customWidth="1"/>
    <col min="5164" max="5164" width="9" bestFit="1" customWidth="1"/>
    <col min="5165" max="5175" width="7.5546875" bestFit="1" customWidth="1"/>
    <col min="5176" max="5176" width="10" bestFit="1" customWidth="1"/>
    <col min="5177" max="5177" width="7.5546875" bestFit="1" customWidth="1"/>
    <col min="5178" max="5178" width="6.109375" bestFit="1" customWidth="1"/>
    <col min="5179" max="5179" width="7.5546875" bestFit="1" customWidth="1"/>
    <col min="5180" max="5182" width="6.109375" bestFit="1" customWidth="1"/>
    <col min="5183" max="5184" width="7.5546875" bestFit="1" customWidth="1"/>
    <col min="5185" max="5187" width="6.109375" bestFit="1" customWidth="1"/>
    <col min="5188" max="5188" width="7.5546875" bestFit="1" customWidth="1"/>
    <col min="5189" max="5191" width="6.109375" bestFit="1" customWidth="1"/>
    <col min="5192" max="5193" width="7.5546875" bestFit="1" customWidth="1"/>
    <col min="5194" max="5195" width="6.109375" bestFit="1" customWidth="1"/>
    <col min="5196" max="5196" width="7.5546875" bestFit="1" customWidth="1"/>
    <col min="5197" max="5198" width="6.109375" bestFit="1" customWidth="1"/>
    <col min="5199" max="5199" width="7.5546875" bestFit="1" customWidth="1"/>
    <col min="5200" max="5200" width="6.109375" bestFit="1" customWidth="1"/>
    <col min="5201" max="5201" width="7.5546875" bestFit="1" customWidth="1"/>
    <col min="5202" max="5219" width="6.109375" bestFit="1" customWidth="1"/>
    <col min="5220" max="5220" width="9" bestFit="1" customWidth="1"/>
    <col min="5221" max="5227" width="7.5546875" bestFit="1" customWidth="1"/>
    <col min="5228" max="5228" width="9" bestFit="1" customWidth="1"/>
    <col min="5229" max="5257" width="7.5546875" bestFit="1" customWidth="1"/>
    <col min="5258" max="5258" width="9" bestFit="1" customWidth="1"/>
    <col min="5259" max="5269" width="7.5546875" bestFit="1" customWidth="1"/>
    <col min="5270" max="5270" width="8.5546875" bestFit="1" customWidth="1"/>
    <col min="5271" max="5271" width="7.5546875" bestFit="1" customWidth="1"/>
    <col min="5272" max="5272" width="6.109375" bestFit="1" customWidth="1"/>
    <col min="5273" max="5273" width="7.5546875" bestFit="1" customWidth="1"/>
    <col min="5274" max="5276" width="6.109375" bestFit="1" customWidth="1"/>
    <col min="5277" max="5278" width="7.5546875" bestFit="1" customWidth="1"/>
    <col min="5279" max="5281" width="6.109375" bestFit="1" customWidth="1"/>
    <col min="5282" max="5282" width="7.5546875" bestFit="1" customWidth="1"/>
    <col min="5283" max="5285" width="6.109375" bestFit="1" customWidth="1"/>
    <col min="5286" max="5287" width="7.5546875" bestFit="1" customWidth="1"/>
    <col min="5288" max="5289" width="6.109375" bestFit="1" customWidth="1"/>
    <col min="5290" max="5290" width="7.5546875" bestFit="1" customWidth="1"/>
    <col min="5291" max="5292" width="6.109375" bestFit="1" customWidth="1"/>
    <col min="5293" max="5293" width="7.5546875" bestFit="1" customWidth="1"/>
    <col min="5294" max="5294" width="6.109375" bestFit="1" customWidth="1"/>
    <col min="5295" max="5295" width="7.5546875" bestFit="1" customWidth="1"/>
    <col min="5296" max="5313" width="6.109375" bestFit="1" customWidth="1"/>
    <col min="5314" max="5314" width="9" bestFit="1" customWidth="1"/>
    <col min="5315" max="5321" width="7.5546875" bestFit="1" customWidth="1"/>
    <col min="5322" max="5322" width="9" bestFit="1" customWidth="1"/>
    <col min="5323" max="5351" width="7.5546875" bestFit="1" customWidth="1"/>
    <col min="5352" max="5352" width="9" bestFit="1" customWidth="1"/>
    <col min="5353" max="5363" width="7.5546875" bestFit="1" customWidth="1"/>
    <col min="5364" max="5364" width="8.5546875" bestFit="1" customWidth="1"/>
    <col min="5365" max="5365" width="7.5546875" bestFit="1" customWidth="1"/>
    <col min="5366" max="5366" width="6.109375" bestFit="1" customWidth="1"/>
    <col min="5367" max="5367" width="7.5546875" bestFit="1" customWidth="1"/>
    <col min="5368" max="5370" width="6.109375" bestFit="1" customWidth="1"/>
    <col min="5371" max="5372" width="7.5546875" bestFit="1" customWidth="1"/>
    <col min="5373" max="5375" width="6.109375" bestFit="1" customWidth="1"/>
    <col min="5376" max="5376" width="7.5546875" bestFit="1" customWidth="1"/>
    <col min="5377" max="5379" width="6.109375" bestFit="1" customWidth="1"/>
    <col min="5380" max="5381" width="7.5546875" bestFit="1" customWidth="1"/>
    <col min="5382" max="5383" width="6.109375" bestFit="1" customWidth="1"/>
    <col min="5384" max="5384" width="7.5546875" bestFit="1" customWidth="1"/>
    <col min="5385" max="5386" width="6.109375" bestFit="1" customWidth="1"/>
    <col min="5387" max="5387" width="7.5546875" bestFit="1" customWidth="1"/>
    <col min="5388" max="5388" width="6.109375" bestFit="1" customWidth="1"/>
    <col min="5389" max="5389" width="7.5546875" bestFit="1" customWidth="1"/>
    <col min="5390" max="5407" width="6.109375" bestFit="1" customWidth="1"/>
    <col min="5408" max="5408" width="9" bestFit="1" customWidth="1"/>
    <col min="5409" max="5415" width="7.5546875" bestFit="1" customWidth="1"/>
    <col min="5416" max="5416" width="9" bestFit="1" customWidth="1"/>
    <col min="5417" max="5445" width="7.5546875" bestFit="1" customWidth="1"/>
    <col min="5446" max="5446" width="9" bestFit="1" customWidth="1"/>
    <col min="5447" max="5457" width="7.5546875" bestFit="1" customWidth="1"/>
    <col min="5458" max="5458" width="10" bestFit="1" customWidth="1"/>
    <col min="5459" max="5459" width="7.5546875" bestFit="1" customWidth="1"/>
    <col min="5460" max="5460" width="6.109375" bestFit="1" customWidth="1"/>
    <col min="5461" max="5461" width="7.5546875" bestFit="1" customWidth="1"/>
    <col min="5462" max="5464" width="6.109375" bestFit="1" customWidth="1"/>
    <col min="5465" max="5466" width="7.5546875" bestFit="1" customWidth="1"/>
    <col min="5467" max="5469" width="6.109375" bestFit="1" customWidth="1"/>
    <col min="5470" max="5470" width="7.5546875" bestFit="1" customWidth="1"/>
    <col min="5471" max="5473" width="6.109375" bestFit="1" customWidth="1"/>
    <col min="5474" max="5475" width="7.5546875" bestFit="1" customWidth="1"/>
    <col min="5476" max="5477" width="6.109375" bestFit="1" customWidth="1"/>
    <col min="5478" max="5478" width="7.5546875" bestFit="1" customWidth="1"/>
    <col min="5479" max="5480" width="6.109375" bestFit="1" customWidth="1"/>
    <col min="5481" max="5481" width="7.5546875" bestFit="1" customWidth="1"/>
    <col min="5482" max="5482" width="6.109375" bestFit="1" customWidth="1"/>
    <col min="5483" max="5483" width="7.5546875" bestFit="1" customWidth="1"/>
    <col min="5484" max="5501" width="6.109375" bestFit="1" customWidth="1"/>
    <col min="5502" max="5502" width="9" bestFit="1" customWidth="1"/>
    <col min="5503" max="5509" width="7.5546875" bestFit="1" customWidth="1"/>
    <col min="5510" max="5510" width="9" bestFit="1" customWidth="1"/>
    <col min="5511" max="5539" width="7.5546875" bestFit="1" customWidth="1"/>
    <col min="5540" max="5540" width="9" bestFit="1" customWidth="1"/>
    <col min="5541" max="5551" width="7.5546875" bestFit="1" customWidth="1"/>
    <col min="5552" max="5552" width="18.77734375" bestFit="1" customWidth="1"/>
    <col min="5553" max="5553" width="7.5546875" bestFit="1" customWidth="1"/>
    <col min="5554" max="5554" width="6.109375" bestFit="1" customWidth="1"/>
    <col min="5555" max="5555" width="7.5546875" bestFit="1" customWidth="1"/>
    <col min="5556" max="5558" width="6.109375" bestFit="1" customWidth="1"/>
    <col min="5559" max="5560" width="7.5546875" bestFit="1" customWidth="1"/>
    <col min="5561" max="5563" width="6.109375" bestFit="1" customWidth="1"/>
    <col min="5564" max="5564" width="7.5546875" bestFit="1" customWidth="1"/>
    <col min="5565" max="5567" width="6.109375" bestFit="1" customWidth="1"/>
    <col min="5568" max="5569" width="7.5546875" bestFit="1" customWidth="1"/>
    <col min="5570" max="5571" width="6.109375" bestFit="1" customWidth="1"/>
    <col min="5572" max="5572" width="7.5546875" bestFit="1" customWidth="1"/>
    <col min="5573" max="5574" width="6.109375" bestFit="1" customWidth="1"/>
    <col min="5575" max="5575" width="7.5546875" bestFit="1" customWidth="1"/>
    <col min="5576" max="5576" width="6.109375" bestFit="1" customWidth="1"/>
    <col min="5577" max="5577" width="7.5546875" bestFit="1" customWidth="1"/>
    <col min="5578" max="5595" width="6.109375" bestFit="1" customWidth="1"/>
    <col min="5596" max="5596" width="9" bestFit="1" customWidth="1"/>
    <col min="5597" max="5603" width="7.5546875" bestFit="1" customWidth="1"/>
    <col min="5604" max="5604" width="9" bestFit="1" customWidth="1"/>
    <col min="5605" max="5633" width="7.5546875" bestFit="1" customWidth="1"/>
    <col min="5634" max="5634" width="9" bestFit="1" customWidth="1"/>
    <col min="5635" max="5645" width="7.5546875" bestFit="1" customWidth="1"/>
    <col min="5646" max="5646" width="6.109375" bestFit="1" customWidth="1"/>
    <col min="5647" max="5647" width="7.5546875" bestFit="1" customWidth="1"/>
    <col min="5648" max="5648" width="6.109375" bestFit="1" customWidth="1"/>
    <col min="5649" max="5649" width="7.5546875" bestFit="1" customWidth="1"/>
    <col min="5650" max="5652" width="6.109375" bestFit="1" customWidth="1"/>
    <col min="5653" max="5654" width="7.5546875" bestFit="1" customWidth="1"/>
    <col min="5655" max="5657" width="6.109375" bestFit="1" customWidth="1"/>
    <col min="5658" max="5658" width="7.5546875" bestFit="1" customWidth="1"/>
    <col min="5659" max="5661" width="6.109375" bestFit="1" customWidth="1"/>
    <col min="5662" max="5663" width="7.5546875" bestFit="1" customWidth="1"/>
    <col min="5664" max="5665" width="6.109375" bestFit="1" customWidth="1"/>
    <col min="5666" max="5666" width="7.5546875" bestFit="1" customWidth="1"/>
    <col min="5667" max="5668" width="6.109375" bestFit="1" customWidth="1"/>
    <col min="5669" max="5669" width="7.5546875" bestFit="1" customWidth="1"/>
    <col min="5670" max="5670" width="6.109375" bestFit="1" customWidth="1"/>
    <col min="5671" max="5671" width="7.5546875" bestFit="1" customWidth="1"/>
    <col min="5672" max="5689" width="6.109375" bestFit="1" customWidth="1"/>
    <col min="5690" max="5690" width="9" bestFit="1" customWidth="1"/>
    <col min="5691" max="5697" width="7.5546875" bestFit="1" customWidth="1"/>
    <col min="5698" max="5698" width="9" bestFit="1" customWidth="1"/>
    <col min="5699" max="5727" width="7.5546875" bestFit="1" customWidth="1"/>
    <col min="5728" max="5728" width="9" bestFit="1" customWidth="1"/>
    <col min="5729" max="5739" width="7.5546875" bestFit="1" customWidth="1"/>
    <col min="5740" max="5740" width="8.5546875" bestFit="1" customWidth="1"/>
    <col min="5741" max="5741" width="7.5546875" bestFit="1" customWidth="1"/>
    <col min="5742" max="5742" width="6.109375" bestFit="1" customWidth="1"/>
    <col min="5743" max="5743" width="7.5546875" bestFit="1" customWidth="1"/>
    <col min="5744" max="5746" width="6.109375" bestFit="1" customWidth="1"/>
    <col min="5747" max="5748" width="7.5546875" bestFit="1" customWidth="1"/>
    <col min="5749" max="5751" width="6.109375" bestFit="1" customWidth="1"/>
    <col min="5752" max="5752" width="7.5546875" bestFit="1" customWidth="1"/>
    <col min="5753" max="5755" width="6.109375" bestFit="1" customWidth="1"/>
    <col min="5756" max="5757" width="7.5546875" bestFit="1" customWidth="1"/>
    <col min="5758" max="5759" width="6.109375" bestFit="1" customWidth="1"/>
    <col min="5760" max="5760" width="7.5546875" bestFit="1" customWidth="1"/>
    <col min="5761" max="5762" width="6.109375" bestFit="1" customWidth="1"/>
    <col min="5763" max="5763" width="7.5546875" bestFit="1" customWidth="1"/>
    <col min="5764" max="5764" width="6.109375" bestFit="1" customWidth="1"/>
    <col min="5765" max="5765" width="7.5546875" bestFit="1" customWidth="1"/>
    <col min="5766" max="5783" width="6.109375" bestFit="1" customWidth="1"/>
    <col min="5784" max="5784" width="9" bestFit="1" customWidth="1"/>
    <col min="5785" max="5791" width="7.5546875" bestFit="1" customWidth="1"/>
    <col min="5792" max="5792" width="9" bestFit="1" customWidth="1"/>
    <col min="5793" max="5821" width="7.5546875" bestFit="1" customWidth="1"/>
    <col min="5822" max="5822" width="9" bestFit="1" customWidth="1"/>
    <col min="5823" max="5833" width="7.5546875" bestFit="1" customWidth="1"/>
    <col min="5834" max="5834" width="10" bestFit="1" customWidth="1"/>
    <col min="5835" max="5835" width="7.5546875" bestFit="1" customWidth="1"/>
    <col min="5836" max="5836" width="6.109375" bestFit="1" customWidth="1"/>
    <col min="5837" max="5837" width="7.5546875" bestFit="1" customWidth="1"/>
    <col min="5838" max="5840" width="6.109375" bestFit="1" customWidth="1"/>
    <col min="5841" max="5842" width="7.5546875" bestFit="1" customWidth="1"/>
    <col min="5843" max="5845" width="6.109375" bestFit="1" customWidth="1"/>
    <col min="5846" max="5846" width="7.5546875" bestFit="1" customWidth="1"/>
    <col min="5847" max="5849" width="6.109375" bestFit="1" customWidth="1"/>
    <col min="5850" max="5851" width="7.5546875" bestFit="1" customWidth="1"/>
    <col min="5852" max="5853" width="6.109375" bestFit="1" customWidth="1"/>
    <col min="5854" max="5854" width="7.5546875" bestFit="1" customWidth="1"/>
    <col min="5855" max="5856" width="6.109375" bestFit="1" customWidth="1"/>
    <col min="5857" max="5857" width="7.5546875" bestFit="1" customWidth="1"/>
    <col min="5858" max="5858" width="6.109375" bestFit="1" customWidth="1"/>
    <col min="5859" max="5859" width="7.5546875" bestFit="1" customWidth="1"/>
    <col min="5860" max="5877" width="6.109375" bestFit="1" customWidth="1"/>
    <col min="5878" max="5878" width="9" bestFit="1" customWidth="1"/>
    <col min="5879" max="5885" width="7.5546875" bestFit="1" customWidth="1"/>
    <col min="5886" max="5886" width="9" bestFit="1" customWidth="1"/>
    <col min="5887" max="5915" width="7.5546875" bestFit="1" customWidth="1"/>
    <col min="5916" max="5916" width="9" bestFit="1" customWidth="1"/>
    <col min="5917" max="5927" width="7.5546875" bestFit="1" customWidth="1"/>
    <col min="5928" max="5928" width="6.109375" bestFit="1" customWidth="1"/>
    <col min="5929" max="5929" width="7.5546875" bestFit="1" customWidth="1"/>
    <col min="5930" max="5930" width="6.109375" bestFit="1" customWidth="1"/>
    <col min="5931" max="5931" width="7.5546875" bestFit="1" customWidth="1"/>
    <col min="5932" max="5934" width="6.109375" bestFit="1" customWidth="1"/>
    <col min="5935" max="5936" width="7.5546875" bestFit="1" customWidth="1"/>
    <col min="5937" max="5939" width="6.109375" bestFit="1" customWidth="1"/>
    <col min="5940" max="5940" width="7.5546875" bestFit="1" customWidth="1"/>
    <col min="5941" max="5943" width="6.109375" bestFit="1" customWidth="1"/>
    <col min="5944" max="5945" width="7.5546875" bestFit="1" customWidth="1"/>
    <col min="5946" max="5947" width="6.109375" bestFit="1" customWidth="1"/>
    <col min="5948" max="5948" width="7.5546875" bestFit="1" customWidth="1"/>
    <col min="5949" max="5950" width="6.109375" bestFit="1" customWidth="1"/>
    <col min="5951" max="5951" width="7.5546875" bestFit="1" customWidth="1"/>
    <col min="5952" max="5952" width="6.109375" bestFit="1" customWidth="1"/>
    <col min="5953" max="5953" width="7.5546875" bestFit="1" customWidth="1"/>
    <col min="5954" max="5971" width="6.109375" bestFit="1" customWidth="1"/>
    <col min="5972" max="5972" width="9" bestFit="1" customWidth="1"/>
    <col min="5973" max="5979" width="7.5546875" bestFit="1" customWidth="1"/>
    <col min="5980" max="5980" width="9" bestFit="1" customWidth="1"/>
    <col min="5981" max="6009" width="7.5546875" bestFit="1" customWidth="1"/>
    <col min="6010" max="6010" width="9" bestFit="1" customWidth="1"/>
    <col min="6011" max="6021" width="7.5546875" bestFit="1" customWidth="1"/>
    <col min="6022" max="6022" width="18.77734375" bestFit="1" customWidth="1"/>
    <col min="6023" max="6023" width="7.5546875" bestFit="1" customWidth="1"/>
    <col min="6024" max="6024" width="6.109375" bestFit="1" customWidth="1"/>
    <col min="6025" max="6025" width="7.5546875" bestFit="1" customWidth="1"/>
    <col min="6026" max="6028" width="6.109375" bestFit="1" customWidth="1"/>
    <col min="6029" max="6030" width="7.5546875" bestFit="1" customWidth="1"/>
    <col min="6031" max="6033" width="6.109375" bestFit="1" customWidth="1"/>
    <col min="6034" max="6034" width="7.5546875" bestFit="1" customWidth="1"/>
    <col min="6035" max="6037" width="6.109375" bestFit="1" customWidth="1"/>
    <col min="6038" max="6039" width="7.5546875" bestFit="1" customWidth="1"/>
    <col min="6040" max="6041" width="6.109375" bestFit="1" customWidth="1"/>
    <col min="6042" max="6042" width="7.5546875" bestFit="1" customWidth="1"/>
    <col min="6043" max="6044" width="6.109375" bestFit="1" customWidth="1"/>
    <col min="6045" max="6045" width="7.5546875" bestFit="1" customWidth="1"/>
    <col min="6046" max="6046" width="6.109375" bestFit="1" customWidth="1"/>
    <col min="6047" max="6047" width="7.5546875" bestFit="1" customWidth="1"/>
    <col min="6048" max="6065" width="6.109375" bestFit="1" customWidth="1"/>
    <col min="6066" max="6066" width="9" bestFit="1" customWidth="1"/>
    <col min="6067" max="6073" width="7.5546875" bestFit="1" customWidth="1"/>
    <col min="6074" max="6074" width="9" bestFit="1" customWidth="1"/>
    <col min="6075" max="6103" width="7.5546875" bestFit="1" customWidth="1"/>
    <col min="6104" max="6104" width="9" bestFit="1" customWidth="1"/>
    <col min="6105" max="6115" width="7.5546875" bestFit="1" customWidth="1"/>
    <col min="6116" max="6116" width="6.109375" bestFit="1" customWidth="1"/>
    <col min="6117" max="6117" width="7.5546875" bestFit="1" customWidth="1"/>
    <col min="6118" max="6118" width="6.109375" bestFit="1" customWidth="1"/>
    <col min="6119" max="6119" width="7.5546875" bestFit="1" customWidth="1"/>
    <col min="6120" max="6122" width="6.109375" bestFit="1" customWidth="1"/>
    <col min="6123" max="6124" width="7.5546875" bestFit="1" customWidth="1"/>
    <col min="6125" max="6127" width="6.109375" bestFit="1" customWidth="1"/>
    <col min="6128" max="6128" width="7.5546875" bestFit="1" customWidth="1"/>
    <col min="6129" max="6131" width="6.109375" bestFit="1" customWidth="1"/>
    <col min="6132" max="6133" width="7.5546875" bestFit="1" customWidth="1"/>
    <col min="6134" max="6135" width="6.109375" bestFit="1" customWidth="1"/>
    <col min="6136" max="6136" width="7.5546875" bestFit="1" customWidth="1"/>
    <col min="6137" max="6138" width="6.109375" bestFit="1" customWidth="1"/>
    <col min="6139" max="6139" width="7.5546875" bestFit="1" customWidth="1"/>
    <col min="6140" max="6140" width="6.109375" bestFit="1" customWidth="1"/>
    <col min="6141" max="6141" width="7.5546875" bestFit="1" customWidth="1"/>
    <col min="6142" max="6159" width="6.109375" bestFit="1" customWidth="1"/>
    <col min="6160" max="6160" width="9" bestFit="1" customWidth="1"/>
    <col min="6161" max="6167" width="7.5546875" bestFit="1" customWidth="1"/>
    <col min="6168" max="6168" width="9" bestFit="1" customWidth="1"/>
    <col min="6169" max="6197" width="7.5546875" bestFit="1" customWidth="1"/>
    <col min="6198" max="6198" width="9" bestFit="1" customWidth="1"/>
    <col min="6199" max="6209" width="7.5546875" bestFit="1" customWidth="1"/>
    <col min="6210" max="6210" width="8.5546875" bestFit="1" customWidth="1"/>
    <col min="6211" max="6211" width="7.5546875" bestFit="1" customWidth="1"/>
    <col min="6212" max="6212" width="6.109375" bestFit="1" customWidth="1"/>
    <col min="6213" max="6213" width="7.5546875" bestFit="1" customWidth="1"/>
    <col min="6214" max="6216" width="6.109375" bestFit="1" customWidth="1"/>
    <col min="6217" max="6218" width="7.5546875" bestFit="1" customWidth="1"/>
    <col min="6219" max="6221" width="6.109375" bestFit="1" customWidth="1"/>
    <col min="6222" max="6222" width="7.5546875" bestFit="1" customWidth="1"/>
    <col min="6223" max="6225" width="6.109375" bestFit="1" customWidth="1"/>
    <col min="6226" max="6227" width="7.5546875" bestFit="1" customWidth="1"/>
    <col min="6228" max="6229" width="6.109375" bestFit="1" customWidth="1"/>
    <col min="6230" max="6230" width="7.5546875" bestFit="1" customWidth="1"/>
    <col min="6231" max="6232" width="6.109375" bestFit="1" customWidth="1"/>
    <col min="6233" max="6233" width="7.5546875" bestFit="1" customWidth="1"/>
    <col min="6234" max="6234" width="6.109375" bestFit="1" customWidth="1"/>
    <col min="6235" max="6235" width="7.5546875" bestFit="1" customWidth="1"/>
    <col min="6236" max="6253" width="6.109375" bestFit="1" customWidth="1"/>
    <col min="6254" max="6254" width="9" bestFit="1" customWidth="1"/>
    <col min="6255" max="6261" width="7.5546875" bestFit="1" customWidth="1"/>
    <col min="6262" max="6262" width="9" bestFit="1" customWidth="1"/>
    <col min="6263" max="6291" width="7.5546875" bestFit="1" customWidth="1"/>
    <col min="6292" max="6292" width="9" bestFit="1" customWidth="1"/>
    <col min="6293" max="6303" width="7.5546875" bestFit="1" customWidth="1"/>
    <col min="6304" max="6304" width="11.44140625" bestFit="1" customWidth="1"/>
    <col min="6305" max="6305" width="7.5546875" bestFit="1" customWidth="1"/>
    <col min="6306" max="6306" width="6.109375" bestFit="1" customWidth="1"/>
    <col min="6307" max="6307" width="7.5546875" bestFit="1" customWidth="1"/>
    <col min="6308" max="6310" width="6.109375" bestFit="1" customWidth="1"/>
    <col min="6311" max="6312" width="7.5546875" bestFit="1" customWidth="1"/>
    <col min="6313" max="6315" width="6.109375" bestFit="1" customWidth="1"/>
    <col min="6316" max="6316" width="7.5546875" bestFit="1" customWidth="1"/>
    <col min="6317" max="6319" width="6.109375" bestFit="1" customWidth="1"/>
    <col min="6320" max="6321" width="7.5546875" bestFit="1" customWidth="1"/>
    <col min="6322" max="6323" width="6.109375" bestFit="1" customWidth="1"/>
    <col min="6324" max="6324" width="7.5546875" bestFit="1" customWidth="1"/>
    <col min="6325" max="6326" width="6.109375" bestFit="1" customWidth="1"/>
    <col min="6327" max="6327" width="7.5546875" bestFit="1" customWidth="1"/>
    <col min="6328" max="6328" width="6.109375" bestFit="1" customWidth="1"/>
    <col min="6329" max="6329" width="7.5546875" bestFit="1" customWidth="1"/>
    <col min="6330" max="6347" width="6.109375" bestFit="1" customWidth="1"/>
    <col min="6348" max="6348" width="9" bestFit="1" customWidth="1"/>
    <col min="6349" max="6355" width="7.5546875" bestFit="1" customWidth="1"/>
    <col min="6356" max="6356" width="9" bestFit="1" customWidth="1"/>
    <col min="6357" max="6385" width="7.5546875" bestFit="1" customWidth="1"/>
    <col min="6386" max="6386" width="9" bestFit="1" customWidth="1"/>
    <col min="6387" max="6397" width="7.5546875" bestFit="1" customWidth="1"/>
    <col min="6398" max="6398" width="6.109375" bestFit="1" customWidth="1"/>
    <col min="6399" max="6399" width="7.5546875" bestFit="1" customWidth="1"/>
    <col min="6400" max="6400" width="6.109375" bestFit="1" customWidth="1"/>
    <col min="6401" max="6401" width="7.5546875" bestFit="1" customWidth="1"/>
    <col min="6402" max="6404" width="6.109375" bestFit="1" customWidth="1"/>
    <col min="6405" max="6406" width="7.5546875" bestFit="1" customWidth="1"/>
    <col min="6407" max="6409" width="6.109375" bestFit="1" customWidth="1"/>
    <col min="6410" max="6410" width="7.5546875" bestFit="1" customWidth="1"/>
    <col min="6411" max="6413" width="6.109375" bestFit="1" customWidth="1"/>
    <col min="6414" max="6415" width="7.5546875" bestFit="1" customWidth="1"/>
    <col min="6416" max="6417" width="6.109375" bestFit="1" customWidth="1"/>
    <col min="6418" max="6418" width="7.5546875" bestFit="1" customWidth="1"/>
    <col min="6419" max="6420" width="6.109375" bestFit="1" customWidth="1"/>
    <col min="6421" max="6421" width="7.5546875" bestFit="1" customWidth="1"/>
    <col min="6422" max="6422" width="6.109375" bestFit="1" customWidth="1"/>
    <col min="6423" max="6423" width="7.5546875" bestFit="1" customWidth="1"/>
    <col min="6424" max="6441" width="6.109375" bestFit="1" customWidth="1"/>
    <col min="6442" max="6442" width="9" bestFit="1" customWidth="1"/>
    <col min="6443" max="6449" width="7.5546875" bestFit="1" customWidth="1"/>
    <col min="6450" max="6450" width="9" bestFit="1" customWidth="1"/>
    <col min="6451" max="6479" width="7.5546875" bestFit="1" customWidth="1"/>
    <col min="6480" max="6480" width="9" bestFit="1" customWidth="1"/>
    <col min="6481" max="6491" width="7.5546875" bestFit="1" customWidth="1"/>
    <col min="6492" max="6492" width="18.77734375" bestFit="1" customWidth="1"/>
    <col min="6493" max="6493" width="7.5546875" bestFit="1" customWidth="1"/>
    <col min="6494" max="6494" width="6.109375" bestFit="1" customWidth="1"/>
    <col min="6495" max="6495" width="7.5546875" bestFit="1" customWidth="1"/>
    <col min="6496" max="6498" width="6.109375" bestFit="1" customWidth="1"/>
    <col min="6499" max="6500" width="7.5546875" bestFit="1" customWidth="1"/>
    <col min="6501" max="6503" width="6.109375" bestFit="1" customWidth="1"/>
    <col min="6504" max="6504" width="7.5546875" bestFit="1" customWidth="1"/>
    <col min="6505" max="6507" width="6.109375" bestFit="1" customWidth="1"/>
    <col min="6508" max="6509" width="7.5546875" bestFit="1" customWidth="1"/>
    <col min="6510" max="6511" width="6.109375" bestFit="1" customWidth="1"/>
    <col min="6512" max="6512" width="7.5546875" bestFit="1" customWidth="1"/>
    <col min="6513" max="6514" width="6.109375" bestFit="1" customWidth="1"/>
    <col min="6515" max="6515" width="7.5546875" bestFit="1" customWidth="1"/>
    <col min="6516" max="6516" width="6.109375" bestFit="1" customWidth="1"/>
    <col min="6517" max="6517" width="7.5546875" bestFit="1" customWidth="1"/>
    <col min="6518" max="6535" width="6.109375" bestFit="1" customWidth="1"/>
    <col min="6536" max="6536" width="9" bestFit="1" customWidth="1"/>
    <col min="6537" max="6543" width="7.5546875" bestFit="1" customWidth="1"/>
    <col min="6544" max="6544" width="9" bestFit="1" customWidth="1"/>
    <col min="6545" max="6573" width="7.5546875" bestFit="1" customWidth="1"/>
    <col min="6574" max="6574" width="9" bestFit="1" customWidth="1"/>
    <col min="6575" max="6585" width="7.5546875" bestFit="1" customWidth="1"/>
    <col min="6586" max="6586" width="10" bestFit="1" customWidth="1"/>
    <col min="6587" max="6587" width="7.5546875" bestFit="1" customWidth="1"/>
    <col min="6588" max="6588" width="6.109375" bestFit="1" customWidth="1"/>
    <col min="6589" max="6589" width="7.5546875" bestFit="1" customWidth="1"/>
    <col min="6590" max="6592" width="6.109375" bestFit="1" customWidth="1"/>
    <col min="6593" max="6594" width="7.5546875" bestFit="1" customWidth="1"/>
    <col min="6595" max="6597" width="6.109375" bestFit="1" customWidth="1"/>
    <col min="6598" max="6598" width="7.5546875" bestFit="1" customWidth="1"/>
    <col min="6599" max="6601" width="6.109375" bestFit="1" customWidth="1"/>
    <col min="6602" max="6603" width="7.5546875" bestFit="1" customWidth="1"/>
    <col min="6604" max="6605" width="6.109375" bestFit="1" customWidth="1"/>
    <col min="6606" max="6606" width="7.5546875" bestFit="1" customWidth="1"/>
    <col min="6607" max="6608" width="6.109375" bestFit="1" customWidth="1"/>
    <col min="6609" max="6609" width="7.5546875" bestFit="1" customWidth="1"/>
    <col min="6610" max="6610" width="6.109375" bestFit="1" customWidth="1"/>
    <col min="6611" max="6611" width="7.5546875" bestFit="1" customWidth="1"/>
    <col min="6612" max="6629" width="6.109375" bestFit="1" customWidth="1"/>
    <col min="6630" max="6630" width="9" bestFit="1" customWidth="1"/>
    <col min="6631" max="6637" width="7.5546875" bestFit="1" customWidth="1"/>
    <col min="6638" max="6638" width="9" bestFit="1" customWidth="1"/>
    <col min="6639" max="6667" width="7.5546875" bestFit="1" customWidth="1"/>
    <col min="6668" max="6668" width="9" bestFit="1" customWidth="1"/>
    <col min="6669" max="6679" width="7.5546875" bestFit="1" customWidth="1"/>
    <col min="6680" max="6680" width="18.77734375" bestFit="1" customWidth="1"/>
    <col min="6681" max="6681" width="7.5546875" bestFit="1" customWidth="1"/>
    <col min="6682" max="6682" width="6.109375" bestFit="1" customWidth="1"/>
    <col min="6683" max="6683" width="7.5546875" bestFit="1" customWidth="1"/>
    <col min="6684" max="6686" width="6.109375" bestFit="1" customWidth="1"/>
    <col min="6687" max="6688" width="7.5546875" bestFit="1" customWidth="1"/>
    <col min="6689" max="6691" width="6.109375" bestFit="1" customWidth="1"/>
    <col min="6692" max="6692" width="7.5546875" bestFit="1" customWidth="1"/>
    <col min="6693" max="6695" width="6.109375" bestFit="1" customWidth="1"/>
    <col min="6696" max="6697" width="7.5546875" bestFit="1" customWidth="1"/>
    <col min="6698" max="6699" width="6.109375" bestFit="1" customWidth="1"/>
    <col min="6700" max="6700" width="7.5546875" bestFit="1" customWidth="1"/>
    <col min="6701" max="6702" width="6.109375" bestFit="1" customWidth="1"/>
    <col min="6703" max="6703" width="7.5546875" bestFit="1" customWidth="1"/>
    <col min="6704" max="6704" width="6.109375" bestFit="1" customWidth="1"/>
    <col min="6705" max="6705" width="7.5546875" bestFit="1" customWidth="1"/>
    <col min="6706" max="6723" width="6.109375" bestFit="1" customWidth="1"/>
    <col min="6724" max="6724" width="9" bestFit="1" customWidth="1"/>
    <col min="6725" max="6731" width="7.5546875" bestFit="1" customWidth="1"/>
    <col min="6732" max="6732" width="9" bestFit="1" customWidth="1"/>
    <col min="6733" max="6761" width="7.5546875" bestFit="1" customWidth="1"/>
    <col min="6762" max="6762" width="9" bestFit="1" customWidth="1"/>
    <col min="6763" max="6773" width="7.5546875" bestFit="1" customWidth="1"/>
    <col min="6774" max="6774" width="18.77734375" bestFit="1" customWidth="1"/>
    <col min="6775" max="6775" width="7.5546875" bestFit="1" customWidth="1"/>
    <col min="6776" max="6776" width="6.109375" bestFit="1" customWidth="1"/>
    <col min="6777" max="6777" width="7.5546875" bestFit="1" customWidth="1"/>
    <col min="6778" max="6780" width="6.109375" bestFit="1" customWidth="1"/>
    <col min="6781" max="6782" width="7.5546875" bestFit="1" customWidth="1"/>
    <col min="6783" max="6785" width="6.109375" bestFit="1" customWidth="1"/>
    <col min="6786" max="6786" width="7.5546875" bestFit="1" customWidth="1"/>
    <col min="6787" max="6789" width="6.109375" bestFit="1" customWidth="1"/>
    <col min="6790" max="6791" width="7.5546875" bestFit="1" customWidth="1"/>
    <col min="6792" max="6793" width="6.109375" bestFit="1" customWidth="1"/>
    <col min="6794" max="6794" width="7.5546875" bestFit="1" customWidth="1"/>
    <col min="6795" max="6796" width="6.109375" bestFit="1" customWidth="1"/>
    <col min="6797" max="6797" width="7.5546875" bestFit="1" customWidth="1"/>
    <col min="6798" max="6798" width="6.109375" bestFit="1" customWidth="1"/>
    <col min="6799" max="6799" width="7.5546875" bestFit="1" customWidth="1"/>
    <col min="6800" max="6817" width="6.109375" bestFit="1" customWidth="1"/>
    <col min="6818" max="6818" width="9" bestFit="1" customWidth="1"/>
    <col min="6819" max="6825" width="7.5546875" bestFit="1" customWidth="1"/>
    <col min="6826" max="6826" width="9" bestFit="1" customWidth="1"/>
    <col min="6827" max="6855" width="7.5546875" bestFit="1" customWidth="1"/>
    <col min="6856" max="6856" width="9" bestFit="1" customWidth="1"/>
    <col min="6857" max="6867" width="7.5546875" bestFit="1" customWidth="1"/>
    <col min="6868" max="6868" width="18.77734375" bestFit="1" customWidth="1"/>
    <col min="6869" max="6869" width="7.5546875" bestFit="1" customWidth="1"/>
    <col min="6870" max="6870" width="6.109375" bestFit="1" customWidth="1"/>
    <col min="6871" max="6871" width="7.5546875" bestFit="1" customWidth="1"/>
    <col min="6872" max="6874" width="6.109375" bestFit="1" customWidth="1"/>
    <col min="6875" max="6876" width="7.5546875" bestFit="1" customWidth="1"/>
    <col min="6877" max="6879" width="6.109375" bestFit="1" customWidth="1"/>
    <col min="6880" max="6880" width="7.5546875" bestFit="1" customWidth="1"/>
    <col min="6881" max="6883" width="6.109375" bestFit="1" customWidth="1"/>
    <col min="6884" max="6885" width="7.5546875" bestFit="1" customWidth="1"/>
    <col min="6886" max="6887" width="6.109375" bestFit="1" customWidth="1"/>
    <col min="6888" max="6888" width="7.5546875" bestFit="1" customWidth="1"/>
    <col min="6889" max="6890" width="6.109375" bestFit="1" customWidth="1"/>
    <col min="6891" max="6891" width="7.5546875" bestFit="1" customWidth="1"/>
    <col min="6892" max="6892" width="6.109375" bestFit="1" customWidth="1"/>
    <col min="6893" max="6893" width="7.5546875" bestFit="1" customWidth="1"/>
    <col min="6894" max="6911" width="6.109375" bestFit="1" customWidth="1"/>
    <col min="6912" max="6912" width="9" bestFit="1" customWidth="1"/>
    <col min="6913" max="6919" width="7.5546875" bestFit="1" customWidth="1"/>
    <col min="6920" max="6920" width="9" bestFit="1" customWidth="1"/>
    <col min="6921" max="6949" width="7.5546875" bestFit="1" customWidth="1"/>
    <col min="6950" max="6950" width="9" bestFit="1" customWidth="1"/>
    <col min="6951" max="6961" width="7.5546875" bestFit="1" customWidth="1"/>
    <col min="6962" max="6962" width="8.5546875" bestFit="1" customWidth="1"/>
    <col min="6963" max="6963" width="7.5546875" bestFit="1" customWidth="1"/>
    <col min="6964" max="6964" width="6.109375" bestFit="1" customWidth="1"/>
    <col min="6965" max="6965" width="7.5546875" bestFit="1" customWidth="1"/>
    <col min="6966" max="6968" width="6.109375" bestFit="1" customWidth="1"/>
    <col min="6969" max="6970" width="7.5546875" bestFit="1" customWidth="1"/>
    <col min="6971" max="6973" width="6.109375" bestFit="1" customWidth="1"/>
    <col min="6974" max="6974" width="7.5546875" bestFit="1" customWidth="1"/>
    <col min="6975" max="6977" width="6.109375" bestFit="1" customWidth="1"/>
    <col min="6978" max="6979" width="7.5546875" bestFit="1" customWidth="1"/>
    <col min="6980" max="6981" width="6.109375" bestFit="1" customWidth="1"/>
    <col min="6982" max="6982" width="7.5546875" bestFit="1" customWidth="1"/>
    <col min="6983" max="6984" width="6.109375" bestFit="1" customWidth="1"/>
    <col min="6985" max="6985" width="7.5546875" bestFit="1" customWidth="1"/>
    <col min="6986" max="6986" width="6.109375" bestFit="1" customWidth="1"/>
    <col min="6987" max="6987" width="7.5546875" bestFit="1" customWidth="1"/>
    <col min="6988" max="7005" width="6.109375" bestFit="1" customWidth="1"/>
    <col min="7006" max="7006" width="9" bestFit="1" customWidth="1"/>
    <col min="7007" max="7013" width="7.5546875" bestFit="1" customWidth="1"/>
    <col min="7014" max="7014" width="9" bestFit="1" customWidth="1"/>
    <col min="7015" max="7043" width="7.5546875" bestFit="1" customWidth="1"/>
    <col min="7044" max="7044" width="9" bestFit="1" customWidth="1"/>
    <col min="7045" max="7055" width="7.5546875" bestFit="1" customWidth="1"/>
    <col min="7056" max="7056" width="6.109375" bestFit="1" customWidth="1"/>
    <col min="7057" max="7057" width="7.5546875" bestFit="1" customWidth="1"/>
    <col min="7058" max="7058" width="6.109375" bestFit="1" customWidth="1"/>
    <col min="7059" max="7059" width="7.5546875" bestFit="1" customWidth="1"/>
    <col min="7060" max="7062" width="6.109375" bestFit="1" customWidth="1"/>
    <col min="7063" max="7064" width="7.5546875" bestFit="1" customWidth="1"/>
    <col min="7065" max="7067" width="6.109375" bestFit="1" customWidth="1"/>
    <col min="7068" max="7068" width="7.5546875" bestFit="1" customWidth="1"/>
    <col min="7069" max="7071" width="6.109375" bestFit="1" customWidth="1"/>
    <col min="7072" max="7073" width="7.5546875" bestFit="1" customWidth="1"/>
    <col min="7074" max="7075" width="6.109375" bestFit="1" customWidth="1"/>
    <col min="7076" max="7076" width="7.5546875" bestFit="1" customWidth="1"/>
    <col min="7077" max="7078" width="6.109375" bestFit="1" customWidth="1"/>
    <col min="7079" max="7079" width="7.5546875" bestFit="1" customWidth="1"/>
    <col min="7080" max="7080" width="6.109375" bestFit="1" customWidth="1"/>
    <col min="7081" max="7081" width="7.5546875" bestFit="1" customWidth="1"/>
    <col min="7082" max="7099" width="6.109375" bestFit="1" customWidth="1"/>
    <col min="7100" max="7100" width="9" bestFit="1" customWidth="1"/>
    <col min="7101" max="7107" width="7.5546875" bestFit="1" customWidth="1"/>
    <col min="7108" max="7108" width="9" bestFit="1" customWidth="1"/>
    <col min="7109" max="7137" width="7.5546875" bestFit="1" customWidth="1"/>
    <col min="7138" max="7138" width="9" bestFit="1" customWidth="1"/>
    <col min="7139" max="7149" width="7.5546875" bestFit="1" customWidth="1"/>
    <col min="7150" max="7150" width="18.77734375" bestFit="1" customWidth="1"/>
    <col min="7151" max="7151" width="7.5546875" bestFit="1" customWidth="1"/>
    <col min="7152" max="7152" width="6.109375" bestFit="1" customWidth="1"/>
    <col min="7153" max="7153" width="7.5546875" bestFit="1" customWidth="1"/>
    <col min="7154" max="7156" width="6.109375" bestFit="1" customWidth="1"/>
    <col min="7157" max="7158" width="7.5546875" bestFit="1" customWidth="1"/>
    <col min="7159" max="7161" width="6.109375" bestFit="1" customWidth="1"/>
    <col min="7162" max="7162" width="7.5546875" bestFit="1" customWidth="1"/>
    <col min="7163" max="7165" width="6.109375" bestFit="1" customWidth="1"/>
    <col min="7166" max="7167" width="7.5546875" bestFit="1" customWidth="1"/>
    <col min="7168" max="7169" width="6.109375" bestFit="1" customWidth="1"/>
    <col min="7170" max="7170" width="7.5546875" bestFit="1" customWidth="1"/>
    <col min="7171" max="7172" width="6.109375" bestFit="1" customWidth="1"/>
    <col min="7173" max="7173" width="7.5546875" bestFit="1" customWidth="1"/>
    <col min="7174" max="7174" width="6.109375" bestFit="1" customWidth="1"/>
    <col min="7175" max="7175" width="7.5546875" bestFit="1" customWidth="1"/>
    <col min="7176" max="7193" width="6.109375" bestFit="1" customWidth="1"/>
    <col min="7194" max="7194" width="9" bestFit="1" customWidth="1"/>
    <col min="7195" max="7201" width="7.5546875" bestFit="1" customWidth="1"/>
    <col min="7202" max="7202" width="9" bestFit="1" customWidth="1"/>
    <col min="7203" max="7231" width="7.5546875" bestFit="1" customWidth="1"/>
    <col min="7232" max="7232" width="9" bestFit="1" customWidth="1"/>
    <col min="7233" max="7243" width="7.5546875" bestFit="1" customWidth="1"/>
    <col min="7244" max="7244" width="18.77734375" bestFit="1" customWidth="1"/>
    <col min="7245" max="7245" width="7.5546875" bestFit="1" customWidth="1"/>
    <col min="7246" max="7246" width="6.109375" bestFit="1" customWidth="1"/>
    <col min="7247" max="7247" width="7.5546875" bestFit="1" customWidth="1"/>
    <col min="7248" max="7250" width="6.109375" bestFit="1" customWidth="1"/>
    <col min="7251" max="7252" width="7.5546875" bestFit="1" customWidth="1"/>
    <col min="7253" max="7255" width="6.109375" bestFit="1" customWidth="1"/>
    <col min="7256" max="7256" width="7.5546875" bestFit="1" customWidth="1"/>
    <col min="7257" max="7259" width="6.109375" bestFit="1" customWidth="1"/>
    <col min="7260" max="7261" width="7.5546875" bestFit="1" customWidth="1"/>
    <col min="7262" max="7263" width="6.109375" bestFit="1" customWidth="1"/>
    <col min="7264" max="7264" width="7.5546875" bestFit="1" customWidth="1"/>
    <col min="7265" max="7266" width="6.109375" bestFit="1" customWidth="1"/>
    <col min="7267" max="7267" width="7.5546875" bestFit="1" customWidth="1"/>
    <col min="7268" max="7268" width="6.109375" bestFit="1" customWidth="1"/>
    <col min="7269" max="7269" width="7.5546875" bestFit="1" customWidth="1"/>
    <col min="7270" max="7287" width="6.109375" bestFit="1" customWidth="1"/>
    <col min="7288" max="7288" width="9" bestFit="1" customWidth="1"/>
    <col min="7289" max="7295" width="7.5546875" bestFit="1" customWidth="1"/>
    <col min="7296" max="7296" width="9" bestFit="1" customWidth="1"/>
    <col min="7297" max="7325" width="7.5546875" bestFit="1" customWidth="1"/>
    <col min="7326" max="7326" width="9" bestFit="1" customWidth="1"/>
    <col min="7327" max="7337" width="7.5546875" bestFit="1" customWidth="1"/>
    <col min="7338" max="7338" width="18.77734375" bestFit="1" customWidth="1"/>
    <col min="7339" max="7339" width="7.5546875" bestFit="1" customWidth="1"/>
    <col min="7340" max="7340" width="6.109375" bestFit="1" customWidth="1"/>
    <col min="7341" max="7341" width="7.5546875" bestFit="1" customWidth="1"/>
    <col min="7342" max="7344" width="6.109375" bestFit="1" customWidth="1"/>
    <col min="7345" max="7346" width="7.5546875" bestFit="1" customWidth="1"/>
    <col min="7347" max="7349" width="6.109375" bestFit="1" customWidth="1"/>
    <col min="7350" max="7350" width="7.5546875" bestFit="1" customWidth="1"/>
    <col min="7351" max="7353" width="6.109375" bestFit="1" customWidth="1"/>
    <col min="7354" max="7355" width="7.5546875" bestFit="1" customWidth="1"/>
    <col min="7356" max="7357" width="6.109375" bestFit="1" customWidth="1"/>
    <col min="7358" max="7358" width="7.5546875" bestFit="1" customWidth="1"/>
    <col min="7359" max="7360" width="6.109375" bestFit="1" customWidth="1"/>
    <col min="7361" max="7361" width="7.5546875" bestFit="1" customWidth="1"/>
    <col min="7362" max="7362" width="6.109375" bestFit="1" customWidth="1"/>
    <col min="7363" max="7363" width="7.5546875" bestFit="1" customWidth="1"/>
    <col min="7364" max="7381" width="6.109375" bestFit="1" customWidth="1"/>
    <col min="7382" max="7382" width="9" bestFit="1" customWidth="1"/>
    <col min="7383" max="7389" width="7.5546875" bestFit="1" customWidth="1"/>
    <col min="7390" max="7390" width="9" bestFit="1" customWidth="1"/>
    <col min="7391" max="7419" width="7.5546875" bestFit="1" customWidth="1"/>
    <col min="7420" max="7420" width="9" bestFit="1" customWidth="1"/>
    <col min="7421" max="7431" width="7.5546875" bestFit="1" customWidth="1"/>
    <col min="7432" max="7432" width="6.109375" bestFit="1" customWidth="1"/>
    <col min="7433" max="7433" width="7.5546875" bestFit="1" customWidth="1"/>
    <col min="7434" max="7434" width="6.109375" bestFit="1" customWidth="1"/>
    <col min="7435" max="7435" width="7.5546875" bestFit="1" customWidth="1"/>
    <col min="7436" max="7438" width="6.109375" bestFit="1" customWidth="1"/>
    <col min="7439" max="7440" width="7.5546875" bestFit="1" customWidth="1"/>
    <col min="7441" max="7443" width="6.109375" bestFit="1" customWidth="1"/>
    <col min="7444" max="7444" width="7.5546875" bestFit="1" customWidth="1"/>
    <col min="7445" max="7447" width="6.109375" bestFit="1" customWidth="1"/>
    <col min="7448" max="7449" width="7.5546875" bestFit="1" customWidth="1"/>
    <col min="7450" max="7451" width="6.109375" bestFit="1" customWidth="1"/>
    <col min="7452" max="7452" width="7.5546875" bestFit="1" customWidth="1"/>
    <col min="7453" max="7454" width="6.109375" bestFit="1" customWidth="1"/>
    <col min="7455" max="7455" width="7.5546875" bestFit="1" customWidth="1"/>
    <col min="7456" max="7456" width="6.109375" bestFit="1" customWidth="1"/>
    <col min="7457" max="7457" width="7.5546875" bestFit="1" customWidth="1"/>
    <col min="7458" max="7475" width="6.109375" bestFit="1" customWidth="1"/>
    <col min="7476" max="7476" width="9" bestFit="1" customWidth="1"/>
    <col min="7477" max="7483" width="7.5546875" bestFit="1" customWidth="1"/>
    <col min="7484" max="7484" width="9" bestFit="1" customWidth="1"/>
    <col min="7485" max="7513" width="7.5546875" bestFit="1" customWidth="1"/>
    <col min="7514" max="7514" width="9" bestFit="1" customWidth="1"/>
    <col min="7515" max="7525" width="7.5546875" bestFit="1" customWidth="1"/>
    <col min="7526" max="7526" width="18.77734375" bestFit="1" customWidth="1"/>
    <col min="7527" max="7527" width="7.5546875" bestFit="1" customWidth="1"/>
    <col min="7528" max="7528" width="6.109375" bestFit="1" customWidth="1"/>
    <col min="7529" max="7529" width="7.5546875" bestFit="1" customWidth="1"/>
    <col min="7530" max="7532" width="6.109375" bestFit="1" customWidth="1"/>
    <col min="7533" max="7534" width="7.5546875" bestFit="1" customWidth="1"/>
    <col min="7535" max="7537" width="6.109375" bestFit="1" customWidth="1"/>
    <col min="7538" max="7538" width="7.5546875" bestFit="1" customWidth="1"/>
    <col min="7539" max="7541" width="6.109375" bestFit="1" customWidth="1"/>
    <col min="7542" max="7543" width="7.5546875" bestFit="1" customWidth="1"/>
    <col min="7544" max="7545" width="6.109375" bestFit="1" customWidth="1"/>
    <col min="7546" max="7546" width="7.5546875" bestFit="1" customWidth="1"/>
    <col min="7547" max="7548" width="6.109375" bestFit="1" customWidth="1"/>
    <col min="7549" max="7549" width="7.5546875" bestFit="1" customWidth="1"/>
    <col min="7550" max="7550" width="6.109375" bestFit="1" customWidth="1"/>
    <col min="7551" max="7551" width="7.5546875" bestFit="1" customWidth="1"/>
    <col min="7552" max="7569" width="6.109375" bestFit="1" customWidth="1"/>
    <col min="7570" max="7570" width="9" bestFit="1" customWidth="1"/>
    <col min="7571" max="7577" width="7.5546875" bestFit="1" customWidth="1"/>
    <col min="7578" max="7578" width="9" bestFit="1" customWidth="1"/>
    <col min="7579" max="7607" width="7.5546875" bestFit="1" customWidth="1"/>
    <col min="7608" max="7608" width="9" bestFit="1" customWidth="1"/>
    <col min="7609" max="7619" width="7.5546875" bestFit="1" customWidth="1"/>
    <col min="7620" max="7620" width="10" bestFit="1" customWidth="1"/>
    <col min="7621" max="7621" width="7.5546875" bestFit="1" customWidth="1"/>
    <col min="7622" max="7622" width="6.109375" bestFit="1" customWidth="1"/>
    <col min="7623" max="7623" width="7.5546875" bestFit="1" customWidth="1"/>
    <col min="7624" max="7626" width="6.109375" bestFit="1" customWidth="1"/>
    <col min="7627" max="7628" width="7.5546875" bestFit="1" customWidth="1"/>
    <col min="7629" max="7631" width="6.109375" bestFit="1" customWidth="1"/>
    <col min="7632" max="7632" width="7.5546875" bestFit="1" customWidth="1"/>
    <col min="7633" max="7635" width="6.109375" bestFit="1" customWidth="1"/>
    <col min="7636" max="7637" width="7.5546875" bestFit="1" customWidth="1"/>
    <col min="7638" max="7639" width="6.109375" bestFit="1" customWidth="1"/>
    <col min="7640" max="7640" width="7.5546875" bestFit="1" customWidth="1"/>
    <col min="7641" max="7642" width="6.109375" bestFit="1" customWidth="1"/>
    <col min="7643" max="7643" width="7.5546875" bestFit="1" customWidth="1"/>
    <col min="7644" max="7644" width="6.109375" bestFit="1" customWidth="1"/>
    <col min="7645" max="7645" width="7.5546875" bestFit="1" customWidth="1"/>
    <col min="7646" max="7663" width="6.109375" bestFit="1" customWidth="1"/>
    <col min="7664" max="7664" width="9" bestFit="1" customWidth="1"/>
    <col min="7665" max="7671" width="7.5546875" bestFit="1" customWidth="1"/>
    <col min="7672" max="7672" width="9" bestFit="1" customWidth="1"/>
    <col min="7673" max="7701" width="7.5546875" bestFit="1" customWidth="1"/>
    <col min="7702" max="7702" width="9" bestFit="1" customWidth="1"/>
    <col min="7703" max="7713" width="7.5546875" bestFit="1" customWidth="1"/>
    <col min="7714" max="7714" width="6.109375" bestFit="1" customWidth="1"/>
    <col min="7715" max="7715" width="7.5546875" bestFit="1" customWidth="1"/>
    <col min="7716" max="7716" width="6.109375" bestFit="1" customWidth="1"/>
    <col min="7717" max="7717" width="7.5546875" bestFit="1" customWidth="1"/>
    <col min="7718" max="7720" width="6.109375" bestFit="1" customWidth="1"/>
    <col min="7721" max="7722" width="7.5546875" bestFit="1" customWidth="1"/>
    <col min="7723" max="7725" width="6.109375" bestFit="1" customWidth="1"/>
    <col min="7726" max="7726" width="7.5546875" bestFit="1" customWidth="1"/>
    <col min="7727" max="7729" width="6.109375" bestFit="1" customWidth="1"/>
    <col min="7730" max="7731" width="7.5546875" bestFit="1" customWidth="1"/>
    <col min="7732" max="7733" width="6.109375" bestFit="1" customWidth="1"/>
    <col min="7734" max="7734" width="7.5546875" bestFit="1" customWidth="1"/>
    <col min="7735" max="7736" width="6.109375" bestFit="1" customWidth="1"/>
    <col min="7737" max="7737" width="7.5546875" bestFit="1" customWidth="1"/>
    <col min="7738" max="7738" width="6.109375" bestFit="1" customWidth="1"/>
    <col min="7739" max="7739" width="7.5546875" bestFit="1" customWidth="1"/>
    <col min="7740" max="7757" width="6.109375" bestFit="1" customWidth="1"/>
    <col min="7758" max="7758" width="9" bestFit="1" customWidth="1"/>
    <col min="7759" max="7765" width="7.5546875" bestFit="1" customWidth="1"/>
    <col min="7766" max="7766" width="9" bestFit="1" customWidth="1"/>
    <col min="7767" max="7795" width="7.5546875" bestFit="1" customWidth="1"/>
    <col min="7796" max="7796" width="9" bestFit="1" customWidth="1"/>
    <col min="7797" max="7807" width="7.5546875" bestFit="1" customWidth="1"/>
    <col min="7808" max="7808" width="18.77734375" bestFit="1" customWidth="1"/>
    <col min="7809" max="7809" width="7.5546875" bestFit="1" customWidth="1"/>
    <col min="7810" max="7810" width="6.109375" bestFit="1" customWidth="1"/>
    <col min="7811" max="7811" width="7.5546875" bestFit="1" customWidth="1"/>
    <col min="7812" max="7814" width="6.109375" bestFit="1" customWidth="1"/>
    <col min="7815" max="7816" width="7.5546875" bestFit="1" customWidth="1"/>
    <col min="7817" max="7819" width="6.109375" bestFit="1" customWidth="1"/>
    <col min="7820" max="7820" width="7.5546875" bestFit="1" customWidth="1"/>
    <col min="7821" max="7823" width="6.109375" bestFit="1" customWidth="1"/>
    <col min="7824" max="7825" width="7.5546875" bestFit="1" customWidth="1"/>
    <col min="7826" max="7827" width="6.109375" bestFit="1" customWidth="1"/>
    <col min="7828" max="7828" width="7.5546875" bestFit="1" customWidth="1"/>
    <col min="7829" max="7830" width="6.109375" bestFit="1" customWidth="1"/>
    <col min="7831" max="7831" width="7.5546875" bestFit="1" customWidth="1"/>
    <col min="7832" max="7832" width="6.109375" bestFit="1" customWidth="1"/>
    <col min="7833" max="7833" width="7.5546875" bestFit="1" customWidth="1"/>
    <col min="7834" max="7851" width="6.109375" bestFit="1" customWidth="1"/>
    <col min="7852" max="7852" width="9" bestFit="1" customWidth="1"/>
    <col min="7853" max="7859" width="7.5546875" bestFit="1" customWidth="1"/>
    <col min="7860" max="7860" width="9" bestFit="1" customWidth="1"/>
    <col min="7861" max="7889" width="7.5546875" bestFit="1" customWidth="1"/>
    <col min="7890" max="7890" width="9" bestFit="1" customWidth="1"/>
    <col min="7891" max="7901" width="7.5546875" bestFit="1" customWidth="1"/>
    <col min="7902" max="7902" width="18.77734375" bestFit="1" customWidth="1"/>
    <col min="7903" max="7903" width="7.5546875" bestFit="1" customWidth="1"/>
    <col min="7904" max="7904" width="6.109375" bestFit="1" customWidth="1"/>
    <col min="7905" max="7905" width="7.5546875" bestFit="1" customWidth="1"/>
    <col min="7906" max="7908" width="6.109375" bestFit="1" customWidth="1"/>
    <col min="7909" max="7910" width="7.5546875" bestFit="1" customWidth="1"/>
    <col min="7911" max="7913" width="6.109375" bestFit="1" customWidth="1"/>
    <col min="7914" max="7914" width="7.5546875" bestFit="1" customWidth="1"/>
    <col min="7915" max="7917" width="6.109375" bestFit="1" customWidth="1"/>
    <col min="7918" max="7919" width="7.5546875" bestFit="1" customWidth="1"/>
    <col min="7920" max="7921" width="6.109375" bestFit="1" customWidth="1"/>
    <col min="7922" max="7922" width="7.5546875" bestFit="1" customWidth="1"/>
    <col min="7923" max="7924" width="6.109375" bestFit="1" customWidth="1"/>
    <col min="7925" max="7925" width="7.5546875" bestFit="1" customWidth="1"/>
    <col min="7926" max="7926" width="6.109375" bestFit="1" customWidth="1"/>
    <col min="7927" max="7927" width="7.5546875" bestFit="1" customWidth="1"/>
    <col min="7928" max="7945" width="6.109375" bestFit="1" customWidth="1"/>
    <col min="7946" max="7946" width="9" bestFit="1" customWidth="1"/>
    <col min="7947" max="7953" width="7.5546875" bestFit="1" customWidth="1"/>
    <col min="7954" max="7954" width="9" bestFit="1" customWidth="1"/>
    <col min="7955" max="7983" width="7.5546875" bestFit="1" customWidth="1"/>
    <col min="7984" max="7984" width="9" bestFit="1" customWidth="1"/>
    <col min="7985" max="7995" width="7.5546875" bestFit="1" customWidth="1"/>
    <col min="7996" max="7996" width="10" bestFit="1" customWidth="1"/>
    <col min="7997" max="7997" width="7.5546875" bestFit="1" customWidth="1"/>
    <col min="7998" max="7998" width="6.109375" bestFit="1" customWidth="1"/>
    <col min="7999" max="7999" width="7.5546875" bestFit="1" customWidth="1"/>
    <col min="8000" max="8002" width="6.109375" bestFit="1" customWidth="1"/>
    <col min="8003" max="8004" width="7.5546875" bestFit="1" customWidth="1"/>
    <col min="8005" max="8007" width="6.109375" bestFit="1" customWidth="1"/>
    <col min="8008" max="8008" width="7.5546875" bestFit="1" customWidth="1"/>
    <col min="8009" max="8011" width="6.109375" bestFit="1" customWidth="1"/>
    <col min="8012" max="8013" width="7.5546875" bestFit="1" customWidth="1"/>
    <col min="8014" max="8015" width="6.109375" bestFit="1" customWidth="1"/>
    <col min="8016" max="8016" width="7.5546875" bestFit="1" customWidth="1"/>
    <col min="8017" max="8018" width="6.109375" bestFit="1" customWidth="1"/>
    <col min="8019" max="8019" width="7.5546875" bestFit="1" customWidth="1"/>
    <col min="8020" max="8020" width="6.109375" bestFit="1" customWidth="1"/>
    <col min="8021" max="8021" width="7.5546875" bestFit="1" customWidth="1"/>
    <col min="8022" max="8039" width="6.109375" bestFit="1" customWidth="1"/>
    <col min="8040" max="8040" width="9" bestFit="1" customWidth="1"/>
    <col min="8041" max="8047" width="7.5546875" bestFit="1" customWidth="1"/>
    <col min="8048" max="8048" width="9" bestFit="1" customWidth="1"/>
    <col min="8049" max="8077" width="7.5546875" bestFit="1" customWidth="1"/>
    <col min="8078" max="8078" width="9" bestFit="1" customWidth="1"/>
    <col min="8079" max="8089" width="7.5546875" bestFit="1" customWidth="1"/>
    <col min="8090" max="8090" width="6.109375" bestFit="1" customWidth="1"/>
    <col min="8091" max="8091" width="7.5546875" bestFit="1" customWidth="1"/>
    <col min="8092" max="8092" width="6.109375" bestFit="1" customWidth="1"/>
    <col min="8093" max="8093" width="7.5546875" bestFit="1" customWidth="1"/>
    <col min="8094" max="8096" width="6.109375" bestFit="1" customWidth="1"/>
    <col min="8097" max="8098" width="7.5546875" bestFit="1" customWidth="1"/>
    <col min="8099" max="8101" width="6.109375" bestFit="1" customWidth="1"/>
    <col min="8102" max="8102" width="7.5546875" bestFit="1" customWidth="1"/>
    <col min="8103" max="8105" width="6.109375" bestFit="1" customWidth="1"/>
    <col min="8106" max="8107" width="7.5546875" bestFit="1" customWidth="1"/>
    <col min="8108" max="8109" width="6.109375" bestFit="1" customWidth="1"/>
    <col min="8110" max="8110" width="7.5546875" bestFit="1" customWidth="1"/>
    <col min="8111" max="8112" width="6.109375" bestFit="1" customWidth="1"/>
    <col min="8113" max="8113" width="7.5546875" bestFit="1" customWidth="1"/>
    <col min="8114" max="8114" width="6.109375" bestFit="1" customWidth="1"/>
    <col min="8115" max="8115" width="7.5546875" bestFit="1" customWidth="1"/>
    <col min="8116" max="8133" width="6.109375" bestFit="1" customWidth="1"/>
    <col min="8134" max="8134" width="9" bestFit="1" customWidth="1"/>
    <col min="8135" max="8141" width="7.5546875" bestFit="1" customWidth="1"/>
    <col min="8142" max="8142" width="9" bestFit="1" customWidth="1"/>
    <col min="8143" max="8171" width="7.5546875" bestFit="1" customWidth="1"/>
    <col min="8172" max="8172" width="9" bestFit="1" customWidth="1"/>
    <col min="8173" max="8183" width="7.5546875" bestFit="1" customWidth="1"/>
    <col min="8184" max="8184" width="6.109375" bestFit="1" customWidth="1"/>
    <col min="8185" max="8185" width="7.5546875" bestFit="1" customWidth="1"/>
    <col min="8186" max="8186" width="6.109375" bestFit="1" customWidth="1"/>
    <col min="8187" max="8187" width="7.5546875" bestFit="1" customWidth="1"/>
    <col min="8188" max="8190" width="6.109375" bestFit="1" customWidth="1"/>
    <col min="8191" max="8192" width="7.5546875" bestFit="1" customWidth="1"/>
    <col min="8193" max="8195" width="6.109375" bestFit="1" customWidth="1"/>
    <col min="8196" max="8196" width="7.5546875" bestFit="1" customWidth="1"/>
    <col min="8197" max="8199" width="6.109375" bestFit="1" customWidth="1"/>
    <col min="8200" max="8201" width="7.5546875" bestFit="1" customWidth="1"/>
    <col min="8202" max="8203" width="6.109375" bestFit="1" customWidth="1"/>
    <col min="8204" max="8204" width="7.5546875" bestFit="1" customWidth="1"/>
    <col min="8205" max="8206" width="6.109375" bestFit="1" customWidth="1"/>
    <col min="8207" max="8207" width="7.5546875" bestFit="1" customWidth="1"/>
    <col min="8208" max="8208" width="6.109375" bestFit="1" customWidth="1"/>
    <col min="8209" max="8209" width="7.5546875" bestFit="1" customWidth="1"/>
    <col min="8210" max="8227" width="6.109375" bestFit="1" customWidth="1"/>
    <col min="8228" max="8228" width="9" bestFit="1" customWidth="1"/>
    <col min="8229" max="8235" width="7.5546875" bestFit="1" customWidth="1"/>
    <col min="8236" max="8236" width="9" bestFit="1" customWidth="1"/>
    <col min="8237" max="8265" width="7.5546875" bestFit="1" customWidth="1"/>
    <col min="8266" max="8266" width="9" bestFit="1" customWidth="1"/>
    <col min="8267" max="8277" width="7.5546875" bestFit="1" customWidth="1"/>
    <col min="8278" max="8278" width="18.77734375" bestFit="1" customWidth="1"/>
    <col min="8279" max="8279" width="7.5546875" bestFit="1" customWidth="1"/>
    <col min="8280" max="8280" width="6.109375" bestFit="1" customWidth="1"/>
    <col min="8281" max="8281" width="7.5546875" bestFit="1" customWidth="1"/>
    <col min="8282" max="8284" width="6.109375" bestFit="1" customWidth="1"/>
    <col min="8285" max="8286" width="7.5546875" bestFit="1" customWidth="1"/>
    <col min="8287" max="8289" width="6.109375" bestFit="1" customWidth="1"/>
    <col min="8290" max="8290" width="7.5546875" bestFit="1" customWidth="1"/>
    <col min="8291" max="8293" width="6.109375" bestFit="1" customWidth="1"/>
    <col min="8294" max="8295" width="7.5546875" bestFit="1" customWidth="1"/>
    <col min="8296" max="8297" width="6.109375" bestFit="1" customWidth="1"/>
    <col min="8298" max="8298" width="7.5546875" bestFit="1" customWidth="1"/>
    <col min="8299" max="8300" width="6.109375" bestFit="1" customWidth="1"/>
    <col min="8301" max="8301" width="7.5546875" bestFit="1" customWidth="1"/>
    <col min="8302" max="8302" width="6.109375" bestFit="1" customWidth="1"/>
    <col min="8303" max="8303" width="7.5546875" bestFit="1" customWidth="1"/>
    <col min="8304" max="8321" width="6.109375" bestFit="1" customWidth="1"/>
    <col min="8322" max="8322" width="9" bestFit="1" customWidth="1"/>
    <col min="8323" max="8329" width="7.5546875" bestFit="1" customWidth="1"/>
    <col min="8330" max="8330" width="9" bestFit="1" customWidth="1"/>
    <col min="8331" max="8359" width="7.5546875" bestFit="1" customWidth="1"/>
    <col min="8360" max="8360" width="9" bestFit="1" customWidth="1"/>
    <col min="8361" max="8371" width="7.5546875" bestFit="1" customWidth="1"/>
    <col min="8372" max="8372" width="6.109375" bestFit="1" customWidth="1"/>
    <col min="8373" max="8373" width="7.5546875" bestFit="1" customWidth="1"/>
    <col min="8374" max="8374" width="6.109375" bestFit="1" customWidth="1"/>
    <col min="8375" max="8375" width="7.5546875" bestFit="1" customWidth="1"/>
    <col min="8376" max="8378" width="6.109375" bestFit="1" customWidth="1"/>
    <col min="8379" max="8380" width="7.5546875" bestFit="1" customWidth="1"/>
    <col min="8381" max="8383" width="6.109375" bestFit="1" customWidth="1"/>
    <col min="8384" max="8384" width="7.5546875" bestFit="1" customWidth="1"/>
    <col min="8385" max="8387" width="6.109375" bestFit="1" customWidth="1"/>
    <col min="8388" max="8389" width="7.5546875" bestFit="1" customWidth="1"/>
    <col min="8390" max="8391" width="6.109375" bestFit="1" customWidth="1"/>
    <col min="8392" max="8392" width="7.5546875" bestFit="1" customWidth="1"/>
    <col min="8393" max="8394" width="6.109375" bestFit="1" customWidth="1"/>
    <col min="8395" max="8395" width="7.5546875" bestFit="1" customWidth="1"/>
    <col min="8396" max="8396" width="6.109375" bestFit="1" customWidth="1"/>
    <col min="8397" max="8397" width="7.5546875" bestFit="1" customWidth="1"/>
    <col min="8398" max="8415" width="6.109375" bestFit="1" customWidth="1"/>
    <col min="8416" max="8416" width="9" bestFit="1" customWidth="1"/>
    <col min="8417" max="8423" width="7.5546875" bestFit="1" customWidth="1"/>
    <col min="8424" max="8424" width="9" bestFit="1" customWidth="1"/>
    <col min="8425" max="8453" width="7.5546875" bestFit="1" customWidth="1"/>
    <col min="8454" max="8454" width="9" bestFit="1" customWidth="1"/>
    <col min="8455" max="8465" width="7.5546875" bestFit="1" customWidth="1"/>
    <col min="8466" max="8466" width="18.77734375" bestFit="1" customWidth="1"/>
    <col min="8467" max="8467" width="7.5546875" bestFit="1" customWidth="1"/>
    <col min="8468" max="8468" width="6.109375" bestFit="1" customWidth="1"/>
    <col min="8469" max="8469" width="7.5546875" bestFit="1" customWidth="1"/>
    <col min="8470" max="8472" width="6.109375" bestFit="1" customWidth="1"/>
    <col min="8473" max="8474" width="7.5546875" bestFit="1" customWidth="1"/>
    <col min="8475" max="8477" width="6.109375" bestFit="1" customWidth="1"/>
    <col min="8478" max="8478" width="7.5546875" bestFit="1" customWidth="1"/>
    <col min="8479" max="8481" width="6.109375" bestFit="1" customWidth="1"/>
    <col min="8482" max="8483" width="7.5546875" bestFit="1" customWidth="1"/>
    <col min="8484" max="8485" width="6.109375" bestFit="1" customWidth="1"/>
    <col min="8486" max="8486" width="7.5546875" bestFit="1" customWidth="1"/>
    <col min="8487" max="8488" width="6.109375" bestFit="1" customWidth="1"/>
    <col min="8489" max="8489" width="7.5546875" bestFit="1" customWidth="1"/>
    <col min="8490" max="8490" width="6.109375" bestFit="1" customWidth="1"/>
    <col min="8491" max="8491" width="7.5546875" bestFit="1" customWidth="1"/>
    <col min="8492" max="8509" width="6.109375" bestFit="1" customWidth="1"/>
    <col min="8510" max="8510" width="9" bestFit="1" customWidth="1"/>
    <col min="8511" max="8517" width="7.5546875" bestFit="1" customWidth="1"/>
    <col min="8518" max="8518" width="9" bestFit="1" customWidth="1"/>
    <col min="8519" max="8547" width="7.5546875" bestFit="1" customWidth="1"/>
    <col min="8548" max="8548" width="9" bestFit="1" customWidth="1"/>
    <col min="8549" max="8559" width="7.5546875" bestFit="1" customWidth="1"/>
    <col min="8560" max="8560" width="18.77734375" bestFit="1" customWidth="1"/>
    <col min="8561" max="8561" width="7.5546875" bestFit="1" customWidth="1"/>
    <col min="8562" max="8562" width="6.109375" bestFit="1" customWidth="1"/>
    <col min="8563" max="8563" width="7.5546875" bestFit="1" customWidth="1"/>
    <col min="8564" max="8566" width="6.109375" bestFit="1" customWidth="1"/>
    <col min="8567" max="8568" width="7.5546875" bestFit="1" customWidth="1"/>
    <col min="8569" max="8571" width="6.109375" bestFit="1" customWidth="1"/>
    <col min="8572" max="8572" width="7.5546875" bestFit="1" customWidth="1"/>
    <col min="8573" max="8575" width="6.109375" bestFit="1" customWidth="1"/>
    <col min="8576" max="8577" width="7.5546875" bestFit="1" customWidth="1"/>
    <col min="8578" max="8579" width="6.109375" bestFit="1" customWidth="1"/>
    <col min="8580" max="8580" width="7.5546875" bestFit="1" customWidth="1"/>
    <col min="8581" max="8582" width="6.109375" bestFit="1" customWidth="1"/>
    <col min="8583" max="8583" width="7.5546875" bestFit="1" customWidth="1"/>
    <col min="8584" max="8584" width="6.109375" bestFit="1" customWidth="1"/>
    <col min="8585" max="8585" width="7.5546875" bestFit="1" customWidth="1"/>
    <col min="8586" max="8603" width="6.109375" bestFit="1" customWidth="1"/>
    <col min="8604" max="8604" width="9" bestFit="1" customWidth="1"/>
    <col min="8605" max="8611" width="7.5546875" bestFit="1" customWidth="1"/>
    <col min="8612" max="8612" width="9" bestFit="1" customWidth="1"/>
    <col min="8613" max="8641" width="7.5546875" bestFit="1" customWidth="1"/>
    <col min="8642" max="8642" width="9" bestFit="1" customWidth="1"/>
    <col min="8643" max="8653" width="7.5546875" bestFit="1" customWidth="1"/>
    <col min="8654" max="8654" width="18.77734375" bestFit="1" customWidth="1"/>
    <col min="8655" max="8655" width="7.5546875" bestFit="1" customWidth="1"/>
    <col min="8656" max="8656" width="6.109375" bestFit="1" customWidth="1"/>
    <col min="8657" max="8657" width="7.5546875" bestFit="1" customWidth="1"/>
    <col min="8658" max="8660" width="6.109375" bestFit="1" customWidth="1"/>
    <col min="8661" max="8662" width="7.5546875" bestFit="1" customWidth="1"/>
    <col min="8663" max="8665" width="6.109375" bestFit="1" customWidth="1"/>
    <col min="8666" max="8666" width="7.5546875" bestFit="1" customWidth="1"/>
    <col min="8667" max="8669" width="6.109375" bestFit="1" customWidth="1"/>
    <col min="8670" max="8671" width="7.5546875" bestFit="1" customWidth="1"/>
    <col min="8672" max="8673" width="6.109375" bestFit="1" customWidth="1"/>
    <col min="8674" max="8674" width="7.5546875" bestFit="1" customWidth="1"/>
    <col min="8675" max="8676" width="6.109375" bestFit="1" customWidth="1"/>
    <col min="8677" max="8677" width="7.5546875" bestFit="1" customWidth="1"/>
    <col min="8678" max="8678" width="6.109375" bestFit="1" customWidth="1"/>
    <col min="8679" max="8679" width="7.5546875" bestFit="1" customWidth="1"/>
    <col min="8680" max="8697" width="6.109375" bestFit="1" customWidth="1"/>
    <col min="8698" max="8698" width="9" bestFit="1" customWidth="1"/>
    <col min="8699" max="8705" width="7.5546875" bestFit="1" customWidth="1"/>
    <col min="8706" max="8706" width="9" bestFit="1" customWidth="1"/>
    <col min="8707" max="8735" width="7.5546875" bestFit="1" customWidth="1"/>
    <col min="8736" max="8736" width="9" bestFit="1" customWidth="1"/>
    <col min="8737" max="8747" width="7.5546875" bestFit="1" customWidth="1"/>
    <col min="8748" max="8748" width="18.77734375" bestFit="1" customWidth="1"/>
    <col min="8749" max="8749" width="7.5546875" bestFit="1" customWidth="1"/>
    <col min="8750" max="8750" width="6.109375" bestFit="1" customWidth="1"/>
    <col min="8751" max="8751" width="7.5546875" bestFit="1" customWidth="1"/>
    <col min="8752" max="8754" width="6.109375" bestFit="1" customWidth="1"/>
    <col min="8755" max="8756" width="7.5546875" bestFit="1" customWidth="1"/>
    <col min="8757" max="8759" width="6.109375" bestFit="1" customWidth="1"/>
    <col min="8760" max="8760" width="7.5546875" bestFit="1" customWidth="1"/>
    <col min="8761" max="8763" width="6.109375" bestFit="1" customWidth="1"/>
    <col min="8764" max="8765" width="7.5546875" bestFit="1" customWidth="1"/>
    <col min="8766" max="8767" width="6.109375" bestFit="1" customWidth="1"/>
    <col min="8768" max="8768" width="7.5546875" bestFit="1" customWidth="1"/>
    <col min="8769" max="8770" width="6.109375" bestFit="1" customWidth="1"/>
    <col min="8771" max="8771" width="7.5546875" bestFit="1" customWidth="1"/>
    <col min="8772" max="8772" width="6.109375" bestFit="1" customWidth="1"/>
    <col min="8773" max="8773" width="7.5546875" bestFit="1" customWidth="1"/>
    <col min="8774" max="8791" width="6.109375" bestFit="1" customWidth="1"/>
    <col min="8792" max="8792" width="9" bestFit="1" customWidth="1"/>
    <col min="8793" max="8799" width="7.5546875" bestFit="1" customWidth="1"/>
    <col min="8800" max="8800" width="9" bestFit="1" customWidth="1"/>
    <col min="8801" max="8829" width="7.5546875" bestFit="1" customWidth="1"/>
    <col min="8830" max="8830" width="9" bestFit="1" customWidth="1"/>
    <col min="8831" max="8841" width="7.5546875" bestFit="1" customWidth="1"/>
    <col min="8842" max="8842" width="8.5546875" bestFit="1" customWidth="1"/>
    <col min="8843" max="8843" width="7.5546875" bestFit="1" customWidth="1"/>
    <col min="8844" max="8844" width="6.109375" bestFit="1" customWidth="1"/>
    <col min="8845" max="8845" width="7.5546875" bestFit="1" customWidth="1"/>
    <col min="8846" max="8848" width="6.109375" bestFit="1" customWidth="1"/>
    <col min="8849" max="8850" width="7.5546875" bestFit="1" customWidth="1"/>
    <col min="8851" max="8853" width="6.109375" bestFit="1" customWidth="1"/>
    <col min="8854" max="8854" width="7.5546875" bestFit="1" customWidth="1"/>
    <col min="8855" max="8857" width="6.109375" bestFit="1" customWidth="1"/>
    <col min="8858" max="8859" width="7.5546875" bestFit="1" customWidth="1"/>
    <col min="8860" max="8861" width="6.109375" bestFit="1" customWidth="1"/>
    <col min="8862" max="8862" width="7.5546875" bestFit="1" customWidth="1"/>
    <col min="8863" max="8864" width="6.109375" bestFit="1" customWidth="1"/>
    <col min="8865" max="8865" width="7.5546875" bestFit="1" customWidth="1"/>
    <col min="8866" max="8866" width="6.109375" bestFit="1" customWidth="1"/>
    <col min="8867" max="8867" width="7.5546875" bestFit="1" customWidth="1"/>
    <col min="8868" max="8885" width="6.109375" bestFit="1" customWidth="1"/>
    <col min="8886" max="8886" width="9" bestFit="1" customWidth="1"/>
    <col min="8887" max="8893" width="7.5546875" bestFit="1" customWidth="1"/>
    <col min="8894" max="8894" width="9" bestFit="1" customWidth="1"/>
    <col min="8895" max="8923" width="7.5546875" bestFit="1" customWidth="1"/>
    <col min="8924" max="8924" width="9" bestFit="1" customWidth="1"/>
    <col min="8925" max="8935" width="7.5546875" bestFit="1" customWidth="1"/>
    <col min="8936" max="8936" width="6.109375" bestFit="1" customWidth="1"/>
    <col min="8937" max="8937" width="7.5546875" bestFit="1" customWidth="1"/>
    <col min="8938" max="8938" width="6.109375" bestFit="1" customWidth="1"/>
    <col min="8939" max="8939" width="7.5546875" bestFit="1" customWidth="1"/>
    <col min="8940" max="8942" width="6.109375" bestFit="1" customWidth="1"/>
    <col min="8943" max="8944" width="7.5546875" bestFit="1" customWidth="1"/>
    <col min="8945" max="8947" width="6.109375" bestFit="1" customWidth="1"/>
    <col min="8948" max="8948" width="7.5546875" bestFit="1" customWidth="1"/>
    <col min="8949" max="8951" width="6.109375" bestFit="1" customWidth="1"/>
    <col min="8952" max="8953" width="7.5546875" bestFit="1" customWidth="1"/>
    <col min="8954" max="8955" width="6.109375" bestFit="1" customWidth="1"/>
    <col min="8956" max="8956" width="7.5546875" bestFit="1" customWidth="1"/>
    <col min="8957" max="8958" width="6.109375" bestFit="1" customWidth="1"/>
    <col min="8959" max="8959" width="7.5546875" bestFit="1" customWidth="1"/>
    <col min="8960" max="8960" width="6.109375" bestFit="1" customWidth="1"/>
    <col min="8961" max="8961" width="7.5546875" bestFit="1" customWidth="1"/>
    <col min="8962" max="8979" width="6.109375" bestFit="1" customWidth="1"/>
    <col min="8980" max="8980" width="9" bestFit="1" customWidth="1"/>
    <col min="8981" max="8987" width="7.5546875" bestFit="1" customWidth="1"/>
    <col min="8988" max="8988" width="9" bestFit="1" customWidth="1"/>
    <col min="8989" max="9017" width="7.5546875" bestFit="1" customWidth="1"/>
    <col min="9018" max="9018" width="9" bestFit="1" customWidth="1"/>
    <col min="9019" max="9029" width="7.5546875" bestFit="1" customWidth="1"/>
    <col min="9030" max="9030" width="6.109375" bestFit="1" customWidth="1"/>
    <col min="9031" max="9031" width="7.5546875" bestFit="1" customWidth="1"/>
    <col min="9032" max="9032" width="6.109375" bestFit="1" customWidth="1"/>
    <col min="9033" max="9033" width="7.5546875" bestFit="1" customWidth="1"/>
    <col min="9034" max="9036" width="6.109375" bestFit="1" customWidth="1"/>
    <col min="9037" max="9038" width="7.5546875" bestFit="1" customWidth="1"/>
    <col min="9039" max="9041" width="6.109375" bestFit="1" customWidth="1"/>
    <col min="9042" max="9042" width="7.5546875" bestFit="1" customWidth="1"/>
    <col min="9043" max="9045" width="6.109375" bestFit="1" customWidth="1"/>
    <col min="9046" max="9047" width="7.5546875" bestFit="1" customWidth="1"/>
    <col min="9048" max="9049" width="6.109375" bestFit="1" customWidth="1"/>
    <col min="9050" max="9050" width="7.5546875" bestFit="1" customWidth="1"/>
    <col min="9051" max="9052" width="6.109375" bestFit="1" customWidth="1"/>
    <col min="9053" max="9053" width="7.5546875" bestFit="1" customWidth="1"/>
    <col min="9054" max="9054" width="6.109375" bestFit="1" customWidth="1"/>
    <col min="9055" max="9055" width="7.5546875" bestFit="1" customWidth="1"/>
    <col min="9056" max="9073" width="6.109375" bestFit="1" customWidth="1"/>
    <col min="9074" max="9074" width="9" bestFit="1" customWidth="1"/>
    <col min="9075" max="9081" width="7.5546875" bestFit="1" customWidth="1"/>
    <col min="9082" max="9082" width="9" bestFit="1" customWidth="1"/>
    <col min="9083" max="9111" width="7.5546875" bestFit="1" customWidth="1"/>
    <col min="9112" max="9112" width="9" bestFit="1" customWidth="1"/>
    <col min="9113" max="9123" width="7.5546875" bestFit="1" customWidth="1"/>
    <col min="9124" max="9124" width="18.77734375" bestFit="1" customWidth="1"/>
    <col min="9125" max="9125" width="7.5546875" bestFit="1" customWidth="1"/>
    <col min="9126" max="9126" width="6.109375" bestFit="1" customWidth="1"/>
    <col min="9127" max="9127" width="7.5546875" bestFit="1" customWidth="1"/>
    <col min="9128" max="9130" width="6.109375" bestFit="1" customWidth="1"/>
    <col min="9131" max="9132" width="7.5546875" bestFit="1" customWidth="1"/>
    <col min="9133" max="9135" width="6.109375" bestFit="1" customWidth="1"/>
    <col min="9136" max="9136" width="7.5546875" bestFit="1" customWidth="1"/>
    <col min="9137" max="9139" width="6.109375" bestFit="1" customWidth="1"/>
    <col min="9140" max="9141" width="7.5546875" bestFit="1" customWidth="1"/>
    <col min="9142" max="9143" width="6.109375" bestFit="1" customWidth="1"/>
    <col min="9144" max="9144" width="7.5546875" bestFit="1" customWidth="1"/>
    <col min="9145" max="9146" width="6.109375" bestFit="1" customWidth="1"/>
    <col min="9147" max="9147" width="7.5546875" bestFit="1" customWidth="1"/>
    <col min="9148" max="9148" width="6.109375" bestFit="1" customWidth="1"/>
    <col min="9149" max="9149" width="7.5546875" bestFit="1" customWidth="1"/>
    <col min="9150" max="9167" width="6.109375" bestFit="1" customWidth="1"/>
    <col min="9168" max="9168" width="9" bestFit="1" customWidth="1"/>
    <col min="9169" max="9175" width="7.5546875" bestFit="1" customWidth="1"/>
    <col min="9176" max="9176" width="9" bestFit="1" customWidth="1"/>
    <col min="9177" max="9205" width="7.5546875" bestFit="1" customWidth="1"/>
    <col min="9206" max="9206" width="9" bestFit="1" customWidth="1"/>
    <col min="9207" max="9217" width="7.5546875" bestFit="1" customWidth="1"/>
    <col min="9218" max="9218" width="6.109375" bestFit="1" customWidth="1"/>
    <col min="9219" max="9219" width="7.5546875" bestFit="1" customWidth="1"/>
    <col min="9220" max="9220" width="6.109375" bestFit="1" customWidth="1"/>
    <col min="9221" max="9221" width="7.5546875" bestFit="1" customWidth="1"/>
    <col min="9222" max="9224" width="6.109375" bestFit="1" customWidth="1"/>
    <col min="9225" max="9226" width="7.5546875" bestFit="1" customWidth="1"/>
    <col min="9227" max="9229" width="6.109375" bestFit="1" customWidth="1"/>
    <col min="9230" max="9230" width="7.5546875" bestFit="1" customWidth="1"/>
    <col min="9231" max="9233" width="6.109375" bestFit="1" customWidth="1"/>
    <col min="9234" max="9235" width="7.5546875" bestFit="1" customWidth="1"/>
    <col min="9236" max="9237" width="6.109375" bestFit="1" customWidth="1"/>
    <col min="9238" max="9238" width="7.5546875" bestFit="1" customWidth="1"/>
    <col min="9239" max="9240" width="6.109375" bestFit="1" customWidth="1"/>
    <col min="9241" max="9241" width="7.5546875" bestFit="1" customWidth="1"/>
    <col min="9242" max="9242" width="6.109375" bestFit="1" customWidth="1"/>
    <col min="9243" max="9243" width="7.5546875" bestFit="1" customWidth="1"/>
    <col min="9244" max="9261" width="6.109375" bestFit="1" customWidth="1"/>
    <col min="9262" max="9262" width="9" bestFit="1" customWidth="1"/>
    <col min="9263" max="9269" width="7.5546875" bestFit="1" customWidth="1"/>
    <col min="9270" max="9270" width="9" bestFit="1" customWidth="1"/>
    <col min="9271" max="9299" width="7.5546875" bestFit="1" customWidth="1"/>
    <col min="9300" max="9300" width="9" bestFit="1" customWidth="1"/>
    <col min="9301" max="9311" width="7.5546875" bestFit="1" customWidth="1"/>
    <col min="9312" max="9312" width="18.77734375" bestFit="1" customWidth="1"/>
    <col min="9313" max="9313" width="7.5546875" bestFit="1" customWidth="1"/>
    <col min="9314" max="9314" width="6.109375" bestFit="1" customWidth="1"/>
    <col min="9315" max="9315" width="7.5546875" bestFit="1" customWidth="1"/>
    <col min="9316" max="9318" width="6.109375" bestFit="1" customWidth="1"/>
    <col min="9319" max="9320" width="7.5546875" bestFit="1" customWidth="1"/>
    <col min="9321" max="9323" width="6.109375" bestFit="1" customWidth="1"/>
    <col min="9324" max="9324" width="7.5546875" bestFit="1" customWidth="1"/>
    <col min="9325" max="9327" width="6.109375" bestFit="1" customWidth="1"/>
    <col min="9328" max="9329" width="7.5546875" bestFit="1" customWidth="1"/>
    <col min="9330" max="9331" width="6.109375" bestFit="1" customWidth="1"/>
    <col min="9332" max="9332" width="7.5546875" bestFit="1" customWidth="1"/>
    <col min="9333" max="9334" width="6.109375" bestFit="1" customWidth="1"/>
    <col min="9335" max="9335" width="7.5546875" bestFit="1" customWidth="1"/>
    <col min="9336" max="9336" width="6.109375" bestFit="1" customWidth="1"/>
    <col min="9337" max="9337" width="7.5546875" bestFit="1" customWidth="1"/>
    <col min="9338" max="9355" width="6.109375" bestFit="1" customWidth="1"/>
    <col min="9356" max="9356" width="9" bestFit="1" customWidth="1"/>
    <col min="9357" max="9363" width="7.5546875" bestFit="1" customWidth="1"/>
    <col min="9364" max="9364" width="9" bestFit="1" customWidth="1"/>
    <col min="9365" max="9393" width="7.5546875" bestFit="1" customWidth="1"/>
    <col min="9394" max="9394" width="9" bestFit="1" customWidth="1"/>
    <col min="9395" max="9405" width="7.5546875" bestFit="1" customWidth="1"/>
    <col min="9406" max="9406" width="18.77734375" bestFit="1" customWidth="1"/>
    <col min="9407" max="9407" width="7.5546875" bestFit="1" customWidth="1"/>
    <col min="9408" max="9408" width="6.109375" bestFit="1" customWidth="1"/>
    <col min="9409" max="9409" width="7.5546875" bestFit="1" customWidth="1"/>
    <col min="9410" max="9412" width="6.109375" bestFit="1" customWidth="1"/>
    <col min="9413" max="9414" width="7.5546875" bestFit="1" customWidth="1"/>
    <col min="9415" max="9417" width="6.109375" bestFit="1" customWidth="1"/>
    <col min="9418" max="9418" width="7.5546875" bestFit="1" customWidth="1"/>
    <col min="9419" max="9421" width="6.109375" bestFit="1" customWidth="1"/>
    <col min="9422" max="9423" width="7.5546875" bestFit="1" customWidth="1"/>
    <col min="9424" max="9425" width="6.109375" bestFit="1" customWidth="1"/>
    <col min="9426" max="9426" width="7.5546875" bestFit="1" customWidth="1"/>
    <col min="9427" max="9428" width="6.109375" bestFit="1" customWidth="1"/>
    <col min="9429" max="9429" width="7.5546875" bestFit="1" customWidth="1"/>
    <col min="9430" max="9430" width="6.109375" bestFit="1" customWidth="1"/>
    <col min="9431" max="9431" width="7.5546875" bestFit="1" customWidth="1"/>
    <col min="9432" max="9449" width="6.109375" bestFit="1" customWidth="1"/>
    <col min="9450" max="9450" width="9" bestFit="1" customWidth="1"/>
    <col min="9451" max="9457" width="7.5546875" bestFit="1" customWidth="1"/>
    <col min="9458" max="9458" width="9" bestFit="1" customWidth="1"/>
    <col min="9459" max="9487" width="7.5546875" bestFit="1" customWidth="1"/>
    <col min="9488" max="9488" width="9" bestFit="1" customWidth="1"/>
    <col min="9489" max="9499" width="7.5546875" bestFit="1" customWidth="1"/>
    <col min="9500" max="9500" width="18.77734375" bestFit="1" customWidth="1"/>
    <col min="9501" max="9501" width="7.5546875" bestFit="1" customWidth="1"/>
    <col min="9502" max="9502" width="6.109375" bestFit="1" customWidth="1"/>
    <col min="9503" max="9503" width="7.5546875" bestFit="1" customWidth="1"/>
    <col min="9504" max="9506" width="6.109375" bestFit="1" customWidth="1"/>
    <col min="9507" max="9508" width="7.5546875" bestFit="1" customWidth="1"/>
    <col min="9509" max="9511" width="6.109375" bestFit="1" customWidth="1"/>
    <col min="9512" max="9512" width="7.5546875" bestFit="1" customWidth="1"/>
    <col min="9513" max="9515" width="6.109375" bestFit="1" customWidth="1"/>
    <col min="9516" max="9517" width="7.5546875" bestFit="1" customWidth="1"/>
    <col min="9518" max="9519" width="6.109375" bestFit="1" customWidth="1"/>
    <col min="9520" max="9520" width="7.5546875" bestFit="1" customWidth="1"/>
    <col min="9521" max="9522" width="6.109375" bestFit="1" customWidth="1"/>
    <col min="9523" max="9523" width="7.5546875" bestFit="1" customWidth="1"/>
    <col min="9524" max="9524" width="6.109375" bestFit="1" customWidth="1"/>
    <col min="9525" max="9525" width="7.5546875" bestFit="1" customWidth="1"/>
    <col min="9526" max="9543" width="6.109375" bestFit="1" customWidth="1"/>
    <col min="9544" max="9544" width="9" bestFit="1" customWidth="1"/>
    <col min="9545" max="9551" width="7.5546875" bestFit="1" customWidth="1"/>
    <col min="9552" max="9552" width="9" bestFit="1" customWidth="1"/>
    <col min="9553" max="9581" width="7.5546875" bestFit="1" customWidth="1"/>
    <col min="9582" max="9582" width="9" bestFit="1" customWidth="1"/>
    <col min="9583" max="9593" width="7.5546875" bestFit="1" customWidth="1"/>
    <col min="9594" max="9594" width="18.77734375" bestFit="1" customWidth="1"/>
    <col min="9595" max="9595" width="7.5546875" bestFit="1" customWidth="1"/>
    <col min="9596" max="9596" width="6.109375" bestFit="1" customWidth="1"/>
    <col min="9597" max="9597" width="7.5546875" bestFit="1" customWidth="1"/>
    <col min="9598" max="9600" width="6.109375" bestFit="1" customWidth="1"/>
    <col min="9601" max="9602" width="7.5546875" bestFit="1" customWidth="1"/>
    <col min="9603" max="9605" width="6.109375" bestFit="1" customWidth="1"/>
    <col min="9606" max="9606" width="7.5546875" bestFit="1" customWidth="1"/>
    <col min="9607" max="9609" width="6.109375" bestFit="1" customWidth="1"/>
    <col min="9610" max="9611" width="7.5546875" bestFit="1" customWidth="1"/>
    <col min="9612" max="9613" width="6.109375" bestFit="1" customWidth="1"/>
    <col min="9614" max="9614" width="7.5546875" bestFit="1" customWidth="1"/>
    <col min="9615" max="9616" width="6.109375" bestFit="1" customWidth="1"/>
    <col min="9617" max="9617" width="7.5546875" bestFit="1" customWidth="1"/>
    <col min="9618" max="9618" width="6.109375" bestFit="1" customWidth="1"/>
    <col min="9619" max="9619" width="7.5546875" bestFit="1" customWidth="1"/>
    <col min="9620" max="9637" width="6.109375" bestFit="1" customWidth="1"/>
    <col min="9638" max="9638" width="9" bestFit="1" customWidth="1"/>
    <col min="9639" max="9645" width="7.5546875" bestFit="1" customWidth="1"/>
    <col min="9646" max="9646" width="9" bestFit="1" customWidth="1"/>
    <col min="9647" max="9675" width="7.5546875" bestFit="1" customWidth="1"/>
    <col min="9676" max="9676" width="9" bestFit="1" customWidth="1"/>
    <col min="9677" max="9687" width="7.5546875" bestFit="1" customWidth="1"/>
    <col min="9688" max="9688" width="6.109375" bestFit="1" customWidth="1"/>
    <col min="9689" max="9689" width="7.5546875" bestFit="1" customWidth="1"/>
    <col min="9690" max="9690" width="6.109375" bestFit="1" customWidth="1"/>
    <col min="9691" max="9691" width="7.5546875" bestFit="1" customWidth="1"/>
    <col min="9692" max="9694" width="6.109375" bestFit="1" customWidth="1"/>
    <col min="9695" max="9696" width="7.5546875" bestFit="1" customWidth="1"/>
    <col min="9697" max="9699" width="6.109375" bestFit="1" customWidth="1"/>
    <col min="9700" max="9700" width="7.5546875" bestFit="1" customWidth="1"/>
    <col min="9701" max="9703" width="6.109375" bestFit="1" customWidth="1"/>
    <col min="9704" max="9705" width="7.5546875" bestFit="1" customWidth="1"/>
    <col min="9706" max="9707" width="6.109375" bestFit="1" customWidth="1"/>
    <col min="9708" max="9708" width="7.5546875" bestFit="1" customWidth="1"/>
    <col min="9709" max="9710" width="6.109375" bestFit="1" customWidth="1"/>
    <col min="9711" max="9711" width="7.5546875" bestFit="1" customWidth="1"/>
    <col min="9712" max="9712" width="6.109375" bestFit="1" customWidth="1"/>
    <col min="9713" max="9713" width="7.5546875" bestFit="1" customWidth="1"/>
    <col min="9714" max="9731" width="6.109375" bestFit="1" customWidth="1"/>
    <col min="9732" max="9732" width="9" bestFit="1" customWidth="1"/>
    <col min="9733" max="9739" width="7.5546875" bestFit="1" customWidth="1"/>
    <col min="9740" max="9740" width="9" bestFit="1" customWidth="1"/>
    <col min="9741" max="9769" width="7.5546875" bestFit="1" customWidth="1"/>
    <col min="9770" max="9770" width="9" bestFit="1" customWidth="1"/>
    <col min="9771" max="9781" width="7.5546875" bestFit="1" customWidth="1"/>
    <col min="9782" max="9782" width="15.109375" bestFit="1" customWidth="1"/>
  </cols>
  <sheetData>
    <row r="2" spans="5:15" x14ac:dyDescent="0.3">
      <c r="F2" s="27"/>
      <c r="G2" s="28"/>
      <c r="H2" s="28"/>
      <c r="I2" s="28"/>
      <c r="J2" s="28"/>
      <c r="K2" s="28"/>
      <c r="L2" s="28"/>
      <c r="M2" s="28"/>
      <c r="N2" s="28"/>
      <c r="O2" s="29"/>
    </row>
    <row r="3" spans="5:15" x14ac:dyDescent="0.3">
      <c r="F3" s="30"/>
      <c r="G3" s="18" t="s">
        <v>2397</v>
      </c>
      <c r="H3" s="18"/>
      <c r="I3" s="18" t="s">
        <v>2398</v>
      </c>
      <c r="J3" s="18"/>
      <c r="K3" s="18"/>
      <c r="L3" s="18" t="s">
        <v>2400</v>
      </c>
      <c r="M3" s="18"/>
      <c r="N3" s="18" t="s">
        <v>2401</v>
      </c>
      <c r="O3" s="31"/>
    </row>
    <row r="4" spans="5:15" x14ac:dyDescent="0.3">
      <c r="F4" s="30"/>
      <c r="G4">
        <f>COUNTA(tbl_Products[Product_ID])</f>
        <v>121</v>
      </c>
      <c r="I4">
        <f>SUM(tbl_Reorder_Optimization[Reorder_flag])</f>
        <v>67</v>
      </c>
      <c r="L4">
        <f>SUM(tbl_Inventory_Status[Current_Stock])</f>
        <v>52385</v>
      </c>
      <c r="N4" s="44">
        <f>SUM(tbl_Inventory_Status[Inventory_Value])</f>
        <v>697161.50000000023</v>
      </c>
      <c r="O4" s="31"/>
    </row>
    <row r="5" spans="5:15" x14ac:dyDescent="0.3">
      <c r="F5" s="30"/>
      <c r="O5" s="31"/>
    </row>
    <row r="6" spans="5:15" x14ac:dyDescent="0.3">
      <c r="F6" s="30"/>
      <c r="O6" s="31"/>
    </row>
    <row r="7" spans="5:15" x14ac:dyDescent="0.3">
      <c r="F7" s="30"/>
      <c r="G7" s="18" t="s">
        <v>2402</v>
      </c>
      <c r="H7" s="18"/>
      <c r="I7" s="18" t="s">
        <v>2403</v>
      </c>
      <c r="J7" s="18"/>
      <c r="K7" s="18"/>
      <c r="L7" s="18" t="s">
        <v>2404</v>
      </c>
      <c r="M7" s="18"/>
      <c r="O7" s="31"/>
    </row>
    <row r="8" spans="5:15" x14ac:dyDescent="0.3">
      <c r="F8" s="30"/>
      <c r="G8">
        <f>Inventory_Status!E131</f>
        <v>6</v>
      </c>
      <c r="I8">
        <f>Reorder_Optimization!F126</f>
        <v>67</v>
      </c>
      <c r="L8" s="10">
        <f>Product_Master!D128</f>
        <v>5.8512396694214877</v>
      </c>
      <c r="O8" s="31"/>
    </row>
    <row r="9" spans="5:15" x14ac:dyDescent="0.3">
      <c r="F9" s="32"/>
      <c r="G9" s="33"/>
      <c r="H9" s="33"/>
      <c r="I9" s="33"/>
      <c r="J9" s="33"/>
      <c r="K9" s="33"/>
      <c r="L9" s="33"/>
      <c r="M9" s="33"/>
      <c r="N9" s="33"/>
      <c r="O9" s="34"/>
    </row>
    <row r="13" spans="5:15" x14ac:dyDescent="0.3">
      <c r="E13" s="18" t="s">
        <v>2415</v>
      </c>
    </row>
    <row r="14" spans="5:15" x14ac:dyDescent="0.3">
      <c r="E14" s="41" t="s">
        <v>2393</v>
      </c>
      <c r="F14" t="s">
        <v>2395</v>
      </c>
      <c r="N14">
        <f>_xlfn.XLOOKUP(Sheet2!C128, Sheet2!C128, Product_Master!D128)</f>
        <v>5.8512396694214877</v>
      </c>
    </row>
    <row r="15" spans="5:15" x14ac:dyDescent="0.3">
      <c r="E15" s="42" t="s">
        <v>13</v>
      </c>
      <c r="F15">
        <v>15931.900000000001</v>
      </c>
    </row>
    <row r="16" spans="5:15" x14ac:dyDescent="0.3">
      <c r="E16" s="42" t="s">
        <v>2416</v>
      </c>
      <c r="F16">
        <v>20032.609999999997</v>
      </c>
    </row>
    <row r="17" spans="4:14" x14ac:dyDescent="0.3">
      <c r="E17" s="42" t="s">
        <v>17</v>
      </c>
      <c r="F17">
        <v>23341.8</v>
      </c>
    </row>
    <row r="18" spans="4:14" x14ac:dyDescent="0.3">
      <c r="E18" s="42" t="s">
        <v>2418</v>
      </c>
      <c r="F18">
        <v>30052.58</v>
      </c>
    </row>
    <row r="19" spans="4:14" x14ac:dyDescent="0.3">
      <c r="E19" s="42" t="s">
        <v>2417</v>
      </c>
      <c r="F19">
        <v>65177.02</v>
      </c>
    </row>
    <row r="20" spans="4:14" x14ac:dyDescent="0.3">
      <c r="E20" s="42" t="s">
        <v>4</v>
      </c>
      <c r="F20">
        <v>83495.489999999991</v>
      </c>
    </row>
    <row r="21" spans="4:14" x14ac:dyDescent="0.3">
      <c r="E21" s="42" t="s">
        <v>9</v>
      </c>
      <c r="F21">
        <v>459130.10000000003</v>
      </c>
    </row>
    <row r="22" spans="4:14" x14ac:dyDescent="0.3">
      <c r="E22" s="42" t="s">
        <v>2394</v>
      </c>
      <c r="F22">
        <v>697161.50000000023</v>
      </c>
    </row>
    <row r="27" spans="4:14" x14ac:dyDescent="0.3">
      <c r="D27" s="27"/>
      <c r="E27" s="28"/>
      <c r="F27" s="28"/>
      <c r="G27" s="28"/>
      <c r="H27" s="28"/>
      <c r="I27" s="28"/>
      <c r="J27" s="28"/>
      <c r="K27" s="28"/>
      <c r="L27" s="28"/>
      <c r="M27" s="28"/>
      <c r="N27" s="29"/>
    </row>
    <row r="28" spans="4:14" x14ac:dyDescent="0.3">
      <c r="D28" s="30"/>
      <c r="N28" s="31"/>
    </row>
    <row r="29" spans="4:14" x14ac:dyDescent="0.3">
      <c r="D29" s="30"/>
      <c r="N29" s="31"/>
    </row>
    <row r="30" spans="4:14" x14ac:dyDescent="0.3">
      <c r="D30" s="30"/>
      <c r="E30" s="18" t="s">
        <v>2413</v>
      </c>
      <c r="N30" s="31"/>
    </row>
    <row r="31" spans="4:14" x14ac:dyDescent="0.3">
      <c r="D31" s="30"/>
      <c r="E31" s="47" t="s">
        <v>2393</v>
      </c>
      <c r="F31" s="7" t="s">
        <v>2405</v>
      </c>
      <c r="N31" s="31"/>
    </row>
    <row r="32" spans="4:14" x14ac:dyDescent="0.3">
      <c r="D32" s="30"/>
      <c r="E32" s="49" t="s">
        <v>13</v>
      </c>
      <c r="F32" s="60">
        <v>2</v>
      </c>
      <c r="N32" s="31"/>
    </row>
    <row r="33" spans="4:14" x14ac:dyDescent="0.3">
      <c r="D33" s="30"/>
      <c r="E33" s="50" t="s">
        <v>17</v>
      </c>
      <c r="F33" s="61">
        <v>5</v>
      </c>
      <c r="N33" s="31"/>
    </row>
    <row r="34" spans="4:14" x14ac:dyDescent="0.3">
      <c r="D34" s="30"/>
      <c r="E34" s="50" t="s">
        <v>4</v>
      </c>
      <c r="F34" s="61">
        <v>14</v>
      </c>
      <c r="N34" s="31"/>
    </row>
    <row r="35" spans="4:14" x14ac:dyDescent="0.3">
      <c r="D35" s="30"/>
      <c r="E35" s="50" t="s">
        <v>2416</v>
      </c>
      <c r="F35" s="61">
        <v>4</v>
      </c>
      <c r="N35" s="31"/>
    </row>
    <row r="36" spans="4:14" x14ac:dyDescent="0.3">
      <c r="D36" s="30"/>
      <c r="E36" s="50" t="s">
        <v>2418</v>
      </c>
      <c r="F36" s="61">
        <v>4</v>
      </c>
      <c r="N36" s="31"/>
    </row>
    <row r="37" spans="4:14" x14ac:dyDescent="0.3">
      <c r="D37" s="30"/>
      <c r="E37" s="50" t="s">
        <v>2417</v>
      </c>
      <c r="F37" s="61">
        <v>15</v>
      </c>
      <c r="N37" s="31"/>
    </row>
    <row r="38" spans="4:14" x14ac:dyDescent="0.3">
      <c r="D38" s="30"/>
      <c r="E38" s="51" t="s">
        <v>9</v>
      </c>
      <c r="F38" s="61">
        <v>23</v>
      </c>
      <c r="N38" s="31"/>
    </row>
    <row r="39" spans="4:14" x14ac:dyDescent="0.3">
      <c r="D39" s="30"/>
      <c r="E39" s="48" t="s">
        <v>2394</v>
      </c>
      <c r="F39" s="46">
        <v>67</v>
      </c>
      <c r="N39" s="31"/>
    </row>
    <row r="40" spans="4:14" x14ac:dyDescent="0.3">
      <c r="D40" s="30"/>
      <c r="N40" s="31"/>
    </row>
    <row r="41" spans="4:14" x14ac:dyDescent="0.3">
      <c r="D41" s="30"/>
      <c r="N41" s="31"/>
    </row>
    <row r="42" spans="4:14" x14ac:dyDescent="0.3">
      <c r="D42" s="30"/>
      <c r="N42" s="31"/>
    </row>
    <row r="43" spans="4:14" x14ac:dyDescent="0.3">
      <c r="D43" s="30"/>
      <c r="N43" s="31"/>
    </row>
    <row r="44" spans="4:14" x14ac:dyDescent="0.3">
      <c r="D44" s="30"/>
      <c r="N44" s="31"/>
    </row>
    <row r="45" spans="4:14" x14ac:dyDescent="0.3">
      <c r="D45" s="32"/>
      <c r="E45" s="33"/>
      <c r="F45" s="33"/>
      <c r="G45" s="33"/>
      <c r="H45" s="33"/>
      <c r="I45" s="33"/>
      <c r="J45" s="33"/>
      <c r="K45" s="33"/>
      <c r="L45" s="33"/>
      <c r="M45" s="33"/>
      <c r="N45" s="34"/>
    </row>
    <row r="47" spans="4:14" x14ac:dyDescent="0.3">
      <c r="E47" s="18" t="s">
        <v>2411</v>
      </c>
    </row>
    <row r="48" spans="4:14" x14ac:dyDescent="0.3">
      <c r="E48" s="41" t="s">
        <v>2393</v>
      </c>
      <c r="F48" t="s">
        <v>2396</v>
      </c>
    </row>
    <row r="49" spans="5:6" x14ac:dyDescent="0.3">
      <c r="E49" s="42" t="s">
        <v>2418</v>
      </c>
      <c r="F49" s="62">
        <v>315.79523809523812</v>
      </c>
    </row>
    <row r="50" spans="5:6" x14ac:dyDescent="0.3">
      <c r="E50" s="42" t="s">
        <v>17</v>
      </c>
      <c r="F50" s="62">
        <v>343.91666666666669</v>
      </c>
    </row>
    <row r="51" spans="5:6" x14ac:dyDescent="0.3">
      <c r="E51" s="42" t="s">
        <v>13</v>
      </c>
      <c r="F51" s="62">
        <v>392.73333333333335</v>
      </c>
    </row>
    <row r="52" spans="5:6" x14ac:dyDescent="0.3">
      <c r="E52" s="42" t="s">
        <v>2416</v>
      </c>
      <c r="F52" s="62">
        <v>876.55238095238099</v>
      </c>
    </row>
    <row r="53" spans="5:6" x14ac:dyDescent="0.3">
      <c r="E53" s="42" t="s">
        <v>2417</v>
      </c>
      <c r="F53" s="62">
        <v>932.98888888888882</v>
      </c>
    </row>
    <row r="54" spans="5:6" x14ac:dyDescent="0.3">
      <c r="E54" s="42" t="s">
        <v>4</v>
      </c>
      <c r="F54" s="62">
        <v>1804.9773809523808</v>
      </c>
    </row>
    <row r="55" spans="5:6" x14ac:dyDescent="0.3">
      <c r="E55" s="42" t="s">
        <v>9</v>
      </c>
      <c r="F55" s="62">
        <v>1886.2666666666667</v>
      </c>
    </row>
    <row r="56" spans="5:6" x14ac:dyDescent="0.3">
      <c r="E56" s="42" t="s">
        <v>2394</v>
      </c>
      <c r="F56" s="62">
        <v>6553.2305555555567</v>
      </c>
    </row>
    <row r="65" spans="5:17" x14ac:dyDescent="0.3">
      <c r="E65" s="18" t="s">
        <v>2412</v>
      </c>
    </row>
    <row r="66" spans="5:17" x14ac:dyDescent="0.3">
      <c r="E66" s="41" t="s">
        <v>2393</v>
      </c>
      <c r="F66" t="s">
        <v>2406</v>
      </c>
      <c r="G66" t="s">
        <v>2407</v>
      </c>
    </row>
    <row r="67" spans="5:17" ht="130.19999999999999" customHeight="1" x14ac:dyDescent="0.3">
      <c r="E67" s="42" t="s">
        <v>13</v>
      </c>
      <c r="F67" s="62">
        <v>3748</v>
      </c>
      <c r="G67" s="62">
        <v>1569</v>
      </c>
      <c r="Q67" s="56" t="s">
        <v>2421</v>
      </c>
    </row>
    <row r="68" spans="5:17" x14ac:dyDescent="0.3">
      <c r="E68" s="42" t="s">
        <v>17</v>
      </c>
      <c r="F68" s="62">
        <v>2548</v>
      </c>
      <c r="G68" s="62">
        <v>3502</v>
      </c>
    </row>
    <row r="69" spans="5:17" x14ac:dyDescent="0.3">
      <c r="E69" s="42" t="s">
        <v>4</v>
      </c>
      <c r="F69" s="62">
        <v>11967</v>
      </c>
      <c r="G69" s="62">
        <v>11483</v>
      </c>
    </row>
    <row r="70" spans="5:17" x14ac:dyDescent="0.3">
      <c r="E70" s="42" t="s">
        <v>2416</v>
      </c>
      <c r="F70" s="62">
        <v>7262</v>
      </c>
      <c r="G70" s="62">
        <v>5573</v>
      </c>
    </row>
    <row r="71" spans="5:17" x14ac:dyDescent="0.3">
      <c r="E71" s="42" t="s">
        <v>2418</v>
      </c>
      <c r="F71" s="62">
        <v>3973</v>
      </c>
      <c r="G71" s="62">
        <v>3928</v>
      </c>
    </row>
    <row r="72" spans="5:17" x14ac:dyDescent="0.3">
      <c r="E72" s="42" t="s">
        <v>2417</v>
      </c>
      <c r="F72" s="62">
        <v>4795</v>
      </c>
      <c r="G72" s="62">
        <v>11083</v>
      </c>
    </row>
    <row r="73" spans="5:17" x14ac:dyDescent="0.3">
      <c r="E73" s="42" t="s">
        <v>9</v>
      </c>
      <c r="F73" s="62">
        <v>18092</v>
      </c>
      <c r="G73" s="62">
        <v>19387</v>
      </c>
    </row>
    <row r="74" spans="5:17" x14ac:dyDescent="0.3">
      <c r="E74" s="42" t="s">
        <v>2394</v>
      </c>
      <c r="F74" s="62">
        <v>52385</v>
      </c>
      <c r="G74" s="62">
        <v>56525</v>
      </c>
    </row>
    <row r="84" spans="5:6" x14ac:dyDescent="0.3">
      <c r="E84" s="18" t="s">
        <v>2408</v>
      </c>
    </row>
    <row r="85" spans="5:6" x14ac:dyDescent="0.3">
      <c r="E85" s="41" t="s">
        <v>2393</v>
      </c>
      <c r="F85" t="s">
        <v>2410</v>
      </c>
    </row>
    <row r="86" spans="5:6" x14ac:dyDescent="0.3">
      <c r="E86" s="42" t="s">
        <v>2409</v>
      </c>
      <c r="F86" s="62">
        <v>67</v>
      </c>
    </row>
    <row r="87" spans="5:6" x14ac:dyDescent="0.3">
      <c r="E87" s="42" t="s">
        <v>2414</v>
      </c>
      <c r="F87" s="62">
        <v>54</v>
      </c>
    </row>
    <row r="88" spans="5:6" x14ac:dyDescent="0.3">
      <c r="E88" s="42" t="s">
        <v>2394</v>
      </c>
      <c r="F88" s="62">
        <v>121</v>
      </c>
    </row>
    <row r="91" spans="5:6" x14ac:dyDescent="0.3">
      <c r="E91" s="17"/>
    </row>
    <row r="92" spans="5:6" x14ac:dyDescent="0.3">
      <c r="E92" s="45"/>
      <c r="F92" s="45"/>
    </row>
    <row r="107" spans="4:6" x14ac:dyDescent="0.3">
      <c r="D107" s="34" t="s">
        <v>1049</v>
      </c>
      <c r="E107" s="46" t="s">
        <v>1038</v>
      </c>
      <c r="F107" s="32" t="s">
        <v>3</v>
      </c>
    </row>
    <row r="108" spans="4:6" x14ac:dyDescent="0.3">
      <c r="D108" s="53" t="s">
        <v>1053</v>
      </c>
      <c r="E108" s="52">
        <v>69</v>
      </c>
      <c r="F108" s="54">
        <v>1.86</v>
      </c>
    </row>
    <row r="109" spans="4:6" x14ac:dyDescent="0.3">
      <c r="D109" s="53" t="s">
        <v>1041</v>
      </c>
      <c r="E109" s="52">
        <v>56</v>
      </c>
      <c r="F109" s="54">
        <v>12.79</v>
      </c>
    </row>
    <row r="110" spans="4:6" x14ac:dyDescent="0.3">
      <c r="D110" s="53" t="s">
        <v>1042</v>
      </c>
      <c r="E110" s="52">
        <v>39</v>
      </c>
      <c r="F110" s="54">
        <v>10.029999999999999</v>
      </c>
    </row>
    <row r="111" spans="4:6" x14ac:dyDescent="0.3">
      <c r="D111" s="53" t="s">
        <v>5</v>
      </c>
      <c r="E111" s="52">
        <v>60.666666666666664</v>
      </c>
      <c r="F111" s="54">
        <v>4.25</v>
      </c>
    </row>
    <row r="112" spans="4:6" x14ac:dyDescent="0.3">
      <c r="D112" s="53" t="s">
        <v>6</v>
      </c>
      <c r="E112" s="52">
        <v>57.75</v>
      </c>
      <c r="F112" s="54">
        <v>2.69</v>
      </c>
    </row>
    <row r="113" spans="4:6" x14ac:dyDescent="0.3">
      <c r="D113" s="53" t="s">
        <v>7</v>
      </c>
      <c r="E113" s="52">
        <v>61.333333333333336</v>
      </c>
      <c r="F113" s="54">
        <v>3.15</v>
      </c>
    </row>
    <row r="114" spans="4:6" x14ac:dyDescent="0.3">
      <c r="D114" s="53" t="s">
        <v>1043</v>
      </c>
      <c r="E114" s="52">
        <v>22.5</v>
      </c>
      <c r="F114" s="54">
        <v>4.82</v>
      </c>
    </row>
    <row r="115" spans="4:6" x14ac:dyDescent="0.3">
      <c r="D115" s="53" t="s">
        <v>8</v>
      </c>
      <c r="E115" s="52">
        <v>48.666666666666664</v>
      </c>
      <c r="F115" s="54">
        <v>32.450000000000003</v>
      </c>
    </row>
    <row r="116" spans="4:6" x14ac:dyDescent="0.3">
      <c r="D116" s="53" t="s">
        <v>10</v>
      </c>
      <c r="E116" s="52">
        <v>81.333333333333329</v>
      </c>
      <c r="F116" s="54">
        <v>12.5</v>
      </c>
    </row>
    <row r="117" spans="4:6" x14ac:dyDescent="0.3">
      <c r="D117" s="53" t="s">
        <v>11</v>
      </c>
      <c r="E117" s="52">
        <v>51.428571428571431</v>
      </c>
      <c r="F117" s="54">
        <v>4.75</v>
      </c>
    </row>
    <row r="118" spans="4:6" x14ac:dyDescent="0.3">
      <c r="D118" s="53" t="s">
        <v>1044</v>
      </c>
      <c r="E118" s="52">
        <v>41.5</v>
      </c>
      <c r="F118" s="54">
        <v>8.9</v>
      </c>
    </row>
    <row r="119" spans="4:6" x14ac:dyDescent="0.3">
      <c r="D119" s="53" t="s">
        <v>1045</v>
      </c>
      <c r="E119" s="52">
        <v>47.6</v>
      </c>
      <c r="F119" s="54">
        <v>22.3</v>
      </c>
    </row>
    <row r="120" spans="4:6" x14ac:dyDescent="0.3">
      <c r="D120" s="53" t="s">
        <v>12</v>
      </c>
      <c r="E120" s="52">
        <v>37</v>
      </c>
      <c r="F120" s="54">
        <v>2.4</v>
      </c>
    </row>
    <row r="121" spans="4:6" x14ac:dyDescent="0.3">
      <c r="D121" s="53" t="s">
        <v>1046</v>
      </c>
      <c r="E121" s="52">
        <v>51.666666666666664</v>
      </c>
      <c r="F121" s="54">
        <v>3.5</v>
      </c>
    </row>
    <row r="122" spans="4:6" x14ac:dyDescent="0.3">
      <c r="D122" s="53" t="s">
        <v>14</v>
      </c>
      <c r="E122" s="52">
        <v>36.666666666666664</v>
      </c>
      <c r="F122" s="54">
        <v>2.1</v>
      </c>
    </row>
    <row r="123" spans="4:6" x14ac:dyDescent="0.3">
      <c r="D123" s="53" t="s">
        <v>15</v>
      </c>
      <c r="E123" s="52">
        <v>39</v>
      </c>
      <c r="F123" s="54">
        <v>3.8</v>
      </c>
    </row>
    <row r="124" spans="4:6" x14ac:dyDescent="0.3">
      <c r="D124" s="53" t="s">
        <v>1047</v>
      </c>
      <c r="E124" s="52">
        <v>49</v>
      </c>
      <c r="F124" s="54">
        <v>6.5</v>
      </c>
    </row>
    <row r="125" spans="4:6" x14ac:dyDescent="0.3">
      <c r="D125" s="53" t="s">
        <v>1048</v>
      </c>
      <c r="E125" s="52">
        <v>78.333333333333329</v>
      </c>
      <c r="F125" s="54">
        <v>9.1999999999999993</v>
      </c>
    </row>
    <row r="126" spans="4:6" x14ac:dyDescent="0.3">
      <c r="D126" s="53" t="s">
        <v>16</v>
      </c>
      <c r="E126" s="52">
        <v>63.285714285714285</v>
      </c>
      <c r="F126" s="54">
        <v>2.75</v>
      </c>
    </row>
    <row r="127" spans="4:6" x14ac:dyDescent="0.3">
      <c r="D127" s="53" t="s">
        <v>1054</v>
      </c>
      <c r="E127" s="52">
        <v>51.25</v>
      </c>
      <c r="F127" s="54">
        <v>5.4</v>
      </c>
    </row>
    <row r="128" spans="4:6" x14ac:dyDescent="0.3">
      <c r="D128" s="53" t="s">
        <v>18</v>
      </c>
      <c r="E128" s="52">
        <v>35.5</v>
      </c>
      <c r="F128" s="54">
        <v>15.6</v>
      </c>
    </row>
    <row r="129" spans="4:6" x14ac:dyDescent="0.3">
      <c r="D129" s="53" t="s">
        <v>1118</v>
      </c>
      <c r="E129" s="52">
        <v>62.666666666666664</v>
      </c>
      <c r="F129" s="54">
        <v>18.399999999999999</v>
      </c>
    </row>
    <row r="130" spans="4:6" x14ac:dyDescent="0.3">
      <c r="D130" s="53" t="s">
        <v>1121</v>
      </c>
      <c r="E130" s="52">
        <v>72.166666666666671</v>
      </c>
      <c r="F130" s="54">
        <v>4.2</v>
      </c>
    </row>
    <row r="131" spans="4:6" x14ac:dyDescent="0.3">
      <c r="D131" s="53" t="s">
        <v>35</v>
      </c>
      <c r="E131" s="52">
        <v>41</v>
      </c>
      <c r="F131" s="54">
        <v>2.9</v>
      </c>
    </row>
    <row r="132" spans="4:6" x14ac:dyDescent="0.3">
      <c r="D132" s="53" t="s">
        <v>1124</v>
      </c>
      <c r="E132" s="52">
        <v>50.4</v>
      </c>
      <c r="F132" s="54">
        <v>5.0999999999999996</v>
      </c>
    </row>
    <row r="133" spans="4:6" x14ac:dyDescent="0.3">
      <c r="D133" s="53" t="s">
        <v>1127</v>
      </c>
      <c r="E133" s="52">
        <v>63</v>
      </c>
      <c r="F133" s="54">
        <v>38.200000000000003</v>
      </c>
    </row>
    <row r="134" spans="4:6" x14ac:dyDescent="0.3">
      <c r="D134" s="53" t="s">
        <v>37</v>
      </c>
      <c r="E134" s="52">
        <v>50.833333333333336</v>
      </c>
      <c r="F134" s="54">
        <v>22.5</v>
      </c>
    </row>
    <row r="135" spans="4:6" x14ac:dyDescent="0.3">
      <c r="D135" s="53" t="s">
        <v>1131</v>
      </c>
      <c r="E135" s="52">
        <v>36.5</v>
      </c>
      <c r="F135" s="54">
        <v>2.2000000000000002</v>
      </c>
    </row>
    <row r="136" spans="4:6" x14ac:dyDescent="0.3">
      <c r="D136" s="53" t="s">
        <v>1079</v>
      </c>
      <c r="E136" s="52">
        <v>64.666666666666671</v>
      </c>
      <c r="F136" s="54">
        <v>12.4</v>
      </c>
    </row>
    <row r="137" spans="4:6" x14ac:dyDescent="0.3">
      <c r="D137" s="53" t="s">
        <v>1135</v>
      </c>
      <c r="E137" s="52">
        <v>45.25</v>
      </c>
      <c r="F137" s="54">
        <v>44.9</v>
      </c>
    </row>
    <row r="138" spans="4:6" x14ac:dyDescent="0.3">
      <c r="D138" s="53" t="s">
        <v>1064</v>
      </c>
      <c r="E138" s="52">
        <v>36.5</v>
      </c>
      <c r="F138" s="54">
        <v>4.5</v>
      </c>
    </row>
    <row r="139" spans="4:6" x14ac:dyDescent="0.3">
      <c r="D139" s="53" t="s">
        <v>1139</v>
      </c>
      <c r="E139" s="52">
        <v>48.333333333333336</v>
      </c>
      <c r="F139" s="54">
        <v>3.2</v>
      </c>
    </row>
    <row r="140" spans="4:6" x14ac:dyDescent="0.3">
      <c r="D140" s="53" t="s">
        <v>1063</v>
      </c>
      <c r="E140" s="52">
        <v>78</v>
      </c>
      <c r="F140" s="54">
        <v>5.8</v>
      </c>
    </row>
    <row r="141" spans="4:6" x14ac:dyDescent="0.3">
      <c r="D141" s="53" t="s">
        <v>1143</v>
      </c>
      <c r="E141" s="52">
        <v>55</v>
      </c>
      <c r="F141" s="54">
        <v>2.5</v>
      </c>
    </row>
    <row r="142" spans="4:6" x14ac:dyDescent="0.3">
      <c r="D142" s="53" t="s">
        <v>36</v>
      </c>
      <c r="E142" s="52">
        <v>62.8</v>
      </c>
      <c r="F142" s="54">
        <v>7.1</v>
      </c>
    </row>
    <row r="143" spans="4:6" x14ac:dyDescent="0.3">
      <c r="D143" s="53" t="s">
        <v>34</v>
      </c>
      <c r="E143" s="52">
        <v>45</v>
      </c>
      <c r="F143" s="54">
        <v>28.5</v>
      </c>
    </row>
    <row r="144" spans="4:6" x14ac:dyDescent="0.3">
      <c r="D144" s="53" t="s">
        <v>19</v>
      </c>
      <c r="E144" s="52">
        <v>85.166666666666671</v>
      </c>
      <c r="F144" s="54">
        <v>3.95</v>
      </c>
    </row>
    <row r="145" spans="4:6" x14ac:dyDescent="0.3">
      <c r="D145" s="53" t="s">
        <v>1149</v>
      </c>
      <c r="E145" s="52">
        <v>70.333333333333329</v>
      </c>
      <c r="F145" s="54">
        <v>19.8</v>
      </c>
    </row>
    <row r="146" spans="4:6" x14ac:dyDescent="0.3">
      <c r="D146" s="53" t="s">
        <v>23</v>
      </c>
      <c r="E146" s="52">
        <v>59.375</v>
      </c>
      <c r="F146" s="54">
        <v>24.3</v>
      </c>
    </row>
    <row r="147" spans="4:6" x14ac:dyDescent="0.3">
      <c r="D147" s="53" t="s">
        <v>1152</v>
      </c>
      <c r="E147" s="52">
        <v>55</v>
      </c>
      <c r="F147" s="54">
        <v>35.6</v>
      </c>
    </row>
    <row r="148" spans="4:6" x14ac:dyDescent="0.3">
      <c r="D148" s="53" t="s">
        <v>1154</v>
      </c>
      <c r="E148" s="52">
        <v>51.6</v>
      </c>
      <c r="F148" s="54">
        <v>42.1</v>
      </c>
    </row>
    <row r="149" spans="4:6" x14ac:dyDescent="0.3">
      <c r="D149" s="53" t="s">
        <v>1065</v>
      </c>
      <c r="E149" s="52">
        <v>46.333333333333336</v>
      </c>
      <c r="F149" s="54">
        <v>4.0999999999999996</v>
      </c>
    </row>
    <row r="150" spans="4:6" x14ac:dyDescent="0.3">
      <c r="D150" s="53" t="s">
        <v>1055</v>
      </c>
      <c r="E150" s="52">
        <v>59.2</v>
      </c>
      <c r="F150" s="54">
        <v>6.2</v>
      </c>
    </row>
    <row r="151" spans="4:6" x14ac:dyDescent="0.3">
      <c r="D151" s="53" t="s">
        <v>1158</v>
      </c>
      <c r="E151" s="52">
        <v>39</v>
      </c>
      <c r="F151" s="54">
        <v>14.5</v>
      </c>
    </row>
    <row r="152" spans="4:6" x14ac:dyDescent="0.3">
      <c r="D152" s="53" t="s">
        <v>1160</v>
      </c>
      <c r="E152" s="52">
        <v>44.375</v>
      </c>
      <c r="F152" s="54">
        <v>12.8</v>
      </c>
    </row>
    <row r="153" spans="4:6" x14ac:dyDescent="0.3">
      <c r="D153" s="53" t="s">
        <v>1162</v>
      </c>
      <c r="E153" s="52">
        <v>76.2</v>
      </c>
      <c r="F153" s="54">
        <v>30.4</v>
      </c>
    </row>
    <row r="154" spans="4:6" x14ac:dyDescent="0.3">
      <c r="D154" s="53" t="s">
        <v>1081</v>
      </c>
      <c r="E154" s="52">
        <v>57</v>
      </c>
      <c r="F154" s="54">
        <v>2.5</v>
      </c>
    </row>
    <row r="155" spans="4:6" x14ac:dyDescent="0.3">
      <c r="D155" s="53" t="s">
        <v>20</v>
      </c>
      <c r="E155" s="52">
        <v>53.666666666666664</v>
      </c>
      <c r="F155" s="54">
        <v>18.899999999999999</v>
      </c>
    </row>
    <row r="156" spans="4:6" x14ac:dyDescent="0.3">
      <c r="D156" s="53" t="s">
        <v>1166</v>
      </c>
      <c r="E156" s="52">
        <v>46.75</v>
      </c>
      <c r="F156" s="54">
        <v>15.2</v>
      </c>
    </row>
    <row r="157" spans="4:6" x14ac:dyDescent="0.3">
      <c r="D157" s="53" t="s">
        <v>1169</v>
      </c>
      <c r="E157" s="52">
        <v>56.75</v>
      </c>
      <c r="F157" s="54">
        <v>4.8</v>
      </c>
    </row>
    <row r="158" spans="4:6" x14ac:dyDescent="0.3">
      <c r="D158" s="53" t="s">
        <v>1171</v>
      </c>
      <c r="E158" s="52">
        <v>67</v>
      </c>
      <c r="F158" s="54">
        <v>3.2</v>
      </c>
    </row>
    <row r="159" spans="4:6" x14ac:dyDescent="0.3">
      <c r="D159" s="53" t="s">
        <v>1078</v>
      </c>
      <c r="E159" s="52">
        <v>87</v>
      </c>
      <c r="F159" s="54">
        <v>9.4</v>
      </c>
    </row>
    <row r="160" spans="4:6" x14ac:dyDescent="0.3">
      <c r="D160" s="53" t="s">
        <v>1062</v>
      </c>
      <c r="E160" s="52">
        <v>49.333333333333336</v>
      </c>
      <c r="F160" s="54">
        <v>11.2</v>
      </c>
    </row>
    <row r="161" spans="4:6" x14ac:dyDescent="0.3">
      <c r="D161" s="53" t="s">
        <v>1175</v>
      </c>
      <c r="E161" s="52">
        <v>56.833333333333336</v>
      </c>
      <c r="F161" s="54">
        <v>14.3</v>
      </c>
    </row>
    <row r="162" spans="4:6" x14ac:dyDescent="0.3">
      <c r="D162" s="53" t="s">
        <v>1082</v>
      </c>
      <c r="E162" s="52">
        <v>33.428571428571431</v>
      </c>
      <c r="F162" s="54">
        <v>8.5</v>
      </c>
    </row>
    <row r="163" spans="4:6" x14ac:dyDescent="0.3">
      <c r="D163" s="53" t="s">
        <v>1178</v>
      </c>
      <c r="E163" s="52">
        <v>68.75</v>
      </c>
      <c r="F163" s="54">
        <v>15.7</v>
      </c>
    </row>
    <row r="164" spans="4:6" x14ac:dyDescent="0.3">
      <c r="D164" s="53" t="s">
        <v>1059</v>
      </c>
      <c r="E164" s="52">
        <v>61.666666666666664</v>
      </c>
      <c r="F164" s="54">
        <v>9.8000000000000007</v>
      </c>
    </row>
    <row r="165" spans="4:6" x14ac:dyDescent="0.3">
      <c r="D165" s="53" t="s">
        <v>1080</v>
      </c>
      <c r="E165" s="52">
        <v>65.666666666666671</v>
      </c>
      <c r="F165" s="54">
        <v>11.4</v>
      </c>
    </row>
    <row r="166" spans="4:6" x14ac:dyDescent="0.3">
      <c r="D166" s="53" t="s">
        <v>1182</v>
      </c>
      <c r="E166" s="52">
        <v>49.142857142857146</v>
      </c>
      <c r="F166" s="54">
        <v>3.85</v>
      </c>
    </row>
    <row r="167" spans="4:6" x14ac:dyDescent="0.3">
      <c r="D167" s="53" t="s">
        <v>1184</v>
      </c>
      <c r="E167" s="52">
        <v>60</v>
      </c>
      <c r="F167" s="54">
        <v>4.4000000000000004</v>
      </c>
    </row>
    <row r="168" spans="4:6" x14ac:dyDescent="0.3">
      <c r="D168" s="53" t="s">
        <v>21</v>
      </c>
      <c r="E168" s="52">
        <v>71</v>
      </c>
      <c r="F168" s="54">
        <v>5.2</v>
      </c>
    </row>
    <row r="169" spans="4:6" x14ac:dyDescent="0.3">
      <c r="D169" s="53" t="s">
        <v>1056</v>
      </c>
      <c r="E169" s="52">
        <v>49.6</v>
      </c>
      <c r="F169" s="54">
        <v>4.0999999999999996</v>
      </c>
    </row>
    <row r="170" spans="4:6" x14ac:dyDescent="0.3">
      <c r="D170" s="53" t="s">
        <v>1188</v>
      </c>
      <c r="E170" s="52">
        <v>59</v>
      </c>
      <c r="F170" s="54">
        <v>6.5</v>
      </c>
    </row>
    <row r="171" spans="4:6" x14ac:dyDescent="0.3">
      <c r="D171" s="53" t="s">
        <v>1061</v>
      </c>
      <c r="E171" s="52">
        <v>54.25</v>
      </c>
      <c r="F171" s="54">
        <v>3.5</v>
      </c>
    </row>
    <row r="172" spans="4:6" x14ac:dyDescent="0.3">
      <c r="D172" s="53" t="s">
        <v>1069</v>
      </c>
      <c r="E172" s="52">
        <v>81.285714285714292</v>
      </c>
      <c r="F172" s="54">
        <v>2.9</v>
      </c>
    </row>
    <row r="173" spans="4:6" x14ac:dyDescent="0.3">
      <c r="D173" s="53" t="s">
        <v>1192</v>
      </c>
      <c r="E173" s="52">
        <v>56.25</v>
      </c>
      <c r="F173" s="54">
        <v>3.2</v>
      </c>
    </row>
    <row r="174" spans="4:6" x14ac:dyDescent="0.3">
      <c r="D174" s="53" t="s">
        <v>1194</v>
      </c>
      <c r="E174" s="52">
        <v>57</v>
      </c>
      <c r="F174" s="54">
        <v>6.8</v>
      </c>
    </row>
    <row r="175" spans="4:6" x14ac:dyDescent="0.3">
      <c r="D175" s="53" t="s">
        <v>1196</v>
      </c>
      <c r="E175" s="52">
        <v>54.875</v>
      </c>
      <c r="F175" s="54">
        <v>2.5</v>
      </c>
    </row>
    <row r="176" spans="4:6" x14ac:dyDescent="0.3">
      <c r="D176" s="53" t="s">
        <v>1198</v>
      </c>
      <c r="E176" s="52">
        <v>50.333333333333336</v>
      </c>
      <c r="F176" s="54">
        <v>18.2</v>
      </c>
    </row>
    <row r="177" spans="4:6" x14ac:dyDescent="0.3">
      <c r="D177" s="53" t="s">
        <v>1200</v>
      </c>
      <c r="E177" s="52">
        <v>53.166666666666664</v>
      </c>
      <c r="F177" s="54">
        <v>4.5</v>
      </c>
    </row>
    <row r="178" spans="4:6" x14ac:dyDescent="0.3">
      <c r="D178" s="53" t="s">
        <v>1060</v>
      </c>
      <c r="E178" s="52">
        <v>58</v>
      </c>
      <c r="F178" s="54">
        <v>13.4</v>
      </c>
    </row>
    <row r="179" spans="4:6" x14ac:dyDescent="0.3">
      <c r="D179" s="53" t="s">
        <v>1058</v>
      </c>
      <c r="E179" s="52">
        <v>58.222222222222221</v>
      </c>
      <c r="F179" s="54">
        <v>21.1</v>
      </c>
    </row>
    <row r="180" spans="4:6" x14ac:dyDescent="0.3">
      <c r="D180" s="53" t="s">
        <v>1057</v>
      </c>
      <c r="E180" s="52">
        <v>62.666666666666664</v>
      </c>
      <c r="F180" s="54">
        <v>7.8</v>
      </c>
    </row>
    <row r="181" spans="4:6" x14ac:dyDescent="0.3">
      <c r="D181" s="53" t="s">
        <v>1205</v>
      </c>
      <c r="E181" s="52">
        <v>77</v>
      </c>
      <c r="F181" s="54">
        <v>16.5</v>
      </c>
    </row>
    <row r="182" spans="4:6" x14ac:dyDescent="0.3">
      <c r="D182" s="53" t="s">
        <v>1207</v>
      </c>
      <c r="E182" s="52">
        <v>52.5</v>
      </c>
      <c r="F182" s="54">
        <v>5.2</v>
      </c>
    </row>
    <row r="183" spans="4:6" x14ac:dyDescent="0.3">
      <c r="D183" s="53" t="s">
        <v>1209</v>
      </c>
      <c r="E183" s="52">
        <v>42.666666666666664</v>
      </c>
      <c r="F183" s="54">
        <v>6.4</v>
      </c>
    </row>
    <row r="184" spans="4:6" x14ac:dyDescent="0.3">
      <c r="D184" s="53" t="s">
        <v>1211</v>
      </c>
      <c r="E184" s="52">
        <v>66.25</v>
      </c>
      <c r="F184" s="54">
        <v>24.8</v>
      </c>
    </row>
    <row r="185" spans="4:6" x14ac:dyDescent="0.3">
      <c r="D185" s="53" t="s">
        <v>1213</v>
      </c>
      <c r="E185" s="52">
        <v>53.75</v>
      </c>
      <c r="F185" s="54">
        <v>12.4</v>
      </c>
    </row>
    <row r="186" spans="4:6" x14ac:dyDescent="0.3">
      <c r="D186" s="53" t="s">
        <v>1215</v>
      </c>
      <c r="E186" s="52">
        <v>53.2</v>
      </c>
      <c r="F186" s="54">
        <v>15.6</v>
      </c>
    </row>
    <row r="187" spans="4:6" x14ac:dyDescent="0.3">
      <c r="D187" s="53" t="s">
        <v>1066</v>
      </c>
      <c r="E187" s="52">
        <v>56</v>
      </c>
      <c r="F187" s="54">
        <v>8.1999999999999993</v>
      </c>
    </row>
    <row r="188" spans="4:6" x14ac:dyDescent="0.3">
      <c r="D188" s="53" t="s">
        <v>1067</v>
      </c>
      <c r="E188" s="52">
        <v>53.75</v>
      </c>
      <c r="F188" s="54">
        <v>9.5</v>
      </c>
    </row>
    <row r="189" spans="4:6" x14ac:dyDescent="0.3">
      <c r="D189" s="53" t="s">
        <v>1068</v>
      </c>
      <c r="E189" s="52">
        <v>42.25</v>
      </c>
      <c r="F189" s="54">
        <v>14.2</v>
      </c>
    </row>
    <row r="190" spans="4:6" x14ac:dyDescent="0.3">
      <c r="D190" s="53" t="s">
        <v>24</v>
      </c>
      <c r="E190" s="52">
        <v>41.166666666666664</v>
      </c>
      <c r="F190" s="54">
        <v>2.8</v>
      </c>
    </row>
    <row r="191" spans="4:6" x14ac:dyDescent="0.3">
      <c r="D191" s="53" t="s">
        <v>1069</v>
      </c>
      <c r="E191" s="52">
        <v>70</v>
      </c>
      <c r="F191" s="54">
        <v>3.1</v>
      </c>
    </row>
    <row r="192" spans="4:6" x14ac:dyDescent="0.3">
      <c r="D192" s="53" t="s">
        <v>1070</v>
      </c>
      <c r="E192" s="52">
        <v>0</v>
      </c>
      <c r="F192" s="54">
        <v>2.5</v>
      </c>
    </row>
    <row r="193" spans="4:6" x14ac:dyDescent="0.3">
      <c r="D193" s="53" t="s">
        <v>25</v>
      </c>
      <c r="E193" s="52">
        <v>53.8</v>
      </c>
      <c r="F193" s="54">
        <v>22.4</v>
      </c>
    </row>
    <row r="194" spans="4:6" x14ac:dyDescent="0.3">
      <c r="D194" s="53" t="s">
        <v>26</v>
      </c>
      <c r="E194" s="52">
        <v>68.333333333333329</v>
      </c>
      <c r="F194" s="54">
        <v>4.2</v>
      </c>
    </row>
    <row r="195" spans="4:6" x14ac:dyDescent="0.3">
      <c r="D195" s="53" t="s">
        <v>27</v>
      </c>
      <c r="E195" s="52">
        <v>65</v>
      </c>
      <c r="F195" s="54">
        <v>19.5</v>
      </c>
    </row>
    <row r="196" spans="4:6" x14ac:dyDescent="0.3">
      <c r="D196" s="53" t="s">
        <v>28</v>
      </c>
      <c r="E196" s="52">
        <v>56.6</v>
      </c>
      <c r="F196" s="54">
        <v>2.1</v>
      </c>
    </row>
    <row r="197" spans="4:6" x14ac:dyDescent="0.3">
      <c r="D197" s="53" t="s">
        <v>1071</v>
      </c>
      <c r="E197" s="52">
        <v>63.333333333333336</v>
      </c>
      <c r="F197" s="54">
        <v>11.8</v>
      </c>
    </row>
    <row r="198" spans="4:6" x14ac:dyDescent="0.3">
      <c r="D198" s="53" t="s">
        <v>29</v>
      </c>
      <c r="E198" s="52">
        <v>48.333333333333336</v>
      </c>
      <c r="F198" s="54">
        <v>2.5</v>
      </c>
    </row>
    <row r="199" spans="4:6" x14ac:dyDescent="0.3">
      <c r="D199" s="53" t="s">
        <v>1072</v>
      </c>
      <c r="E199" s="52">
        <v>67.333333333333329</v>
      </c>
      <c r="F199" s="54">
        <v>8.9</v>
      </c>
    </row>
    <row r="200" spans="4:6" x14ac:dyDescent="0.3">
      <c r="D200" s="53" t="s">
        <v>1073</v>
      </c>
      <c r="E200" s="52">
        <v>40.428571428571431</v>
      </c>
      <c r="F200" s="54">
        <v>7.2</v>
      </c>
    </row>
    <row r="201" spans="4:6" x14ac:dyDescent="0.3">
      <c r="D201" s="53" t="s">
        <v>1074</v>
      </c>
      <c r="E201" s="52">
        <v>55.8</v>
      </c>
      <c r="F201" s="54">
        <v>4.8</v>
      </c>
    </row>
    <row r="202" spans="4:6" x14ac:dyDescent="0.3">
      <c r="D202" s="53" t="s">
        <v>1075</v>
      </c>
      <c r="E202" s="52">
        <v>51.25</v>
      </c>
      <c r="F202" s="54">
        <v>2.9</v>
      </c>
    </row>
    <row r="203" spans="4:6" x14ac:dyDescent="0.3">
      <c r="D203" s="53" t="s">
        <v>30</v>
      </c>
      <c r="E203" s="52">
        <v>81.666666666666671</v>
      </c>
      <c r="F203" s="54">
        <v>3.2</v>
      </c>
    </row>
    <row r="204" spans="4:6" x14ac:dyDescent="0.3">
      <c r="D204" s="53" t="s">
        <v>31</v>
      </c>
      <c r="E204" s="52">
        <v>48.166666666666664</v>
      </c>
      <c r="F204" s="54">
        <v>2.15</v>
      </c>
    </row>
    <row r="205" spans="4:6" x14ac:dyDescent="0.3">
      <c r="D205" s="53" t="s">
        <v>1076</v>
      </c>
      <c r="E205" s="52">
        <v>57</v>
      </c>
      <c r="F205" s="54">
        <v>5.4</v>
      </c>
    </row>
    <row r="206" spans="4:6" x14ac:dyDescent="0.3">
      <c r="D206" s="53" t="s">
        <v>1077</v>
      </c>
      <c r="E206" s="52">
        <v>45.666666666666664</v>
      </c>
      <c r="F206" s="54">
        <v>5.8</v>
      </c>
    </row>
    <row r="207" spans="4:6" x14ac:dyDescent="0.3">
      <c r="D207" s="53" t="s">
        <v>32</v>
      </c>
      <c r="E207" s="52">
        <v>56.5</v>
      </c>
      <c r="F207" s="54">
        <v>1.5</v>
      </c>
    </row>
    <row r="208" spans="4:6" x14ac:dyDescent="0.3">
      <c r="D208" s="53" t="s">
        <v>33</v>
      </c>
      <c r="E208" s="52">
        <v>18</v>
      </c>
      <c r="F208" s="54">
        <v>34.200000000000003</v>
      </c>
    </row>
    <row r="209" spans="4:9" x14ac:dyDescent="0.3">
      <c r="D209" s="53" t="s">
        <v>1239</v>
      </c>
      <c r="E209" s="52">
        <v>44.333333333333336</v>
      </c>
      <c r="F209" s="54">
        <v>21.5</v>
      </c>
    </row>
    <row r="210" spans="4:9" x14ac:dyDescent="0.3">
      <c r="D210" s="53" t="s">
        <v>1241</v>
      </c>
      <c r="E210" s="52">
        <v>55</v>
      </c>
      <c r="F210" s="54">
        <v>26.8</v>
      </c>
    </row>
    <row r="211" spans="4:9" x14ac:dyDescent="0.3">
      <c r="D211" s="53" t="s">
        <v>1243</v>
      </c>
      <c r="E211" s="52">
        <v>36</v>
      </c>
      <c r="F211" s="54">
        <v>14.2</v>
      </c>
    </row>
    <row r="212" spans="4:9" x14ac:dyDescent="0.3">
      <c r="D212" s="53" t="s">
        <v>1245</v>
      </c>
      <c r="E212" s="52">
        <v>24</v>
      </c>
      <c r="F212" s="54">
        <v>16.5</v>
      </c>
    </row>
    <row r="213" spans="4:9" x14ac:dyDescent="0.3">
      <c r="D213" s="53" t="s">
        <v>1247</v>
      </c>
      <c r="E213" s="52">
        <v>48.25</v>
      </c>
      <c r="F213" s="54">
        <v>31.4</v>
      </c>
    </row>
    <row r="214" spans="4:9" x14ac:dyDescent="0.3">
      <c r="D214" s="53" t="s">
        <v>22</v>
      </c>
      <c r="E214" s="52">
        <v>71.666666666666671</v>
      </c>
      <c r="F214" s="54">
        <v>10.199999999999999</v>
      </c>
    </row>
    <row r="215" spans="4:9" x14ac:dyDescent="0.3">
      <c r="D215" s="53" t="s">
        <v>1250</v>
      </c>
      <c r="E215" s="52">
        <v>73.166666666666671</v>
      </c>
      <c r="F215" s="54">
        <v>11.5</v>
      </c>
    </row>
    <row r="216" spans="4:9" x14ac:dyDescent="0.3">
      <c r="D216" s="53" t="s">
        <v>8</v>
      </c>
      <c r="E216" s="52">
        <v>48.25</v>
      </c>
      <c r="F216" s="54">
        <v>28.4</v>
      </c>
    </row>
    <row r="217" spans="4:9" x14ac:dyDescent="0.3">
      <c r="D217" s="53" t="s">
        <v>1253</v>
      </c>
      <c r="E217" s="52">
        <v>43.6</v>
      </c>
      <c r="F217" s="54">
        <v>36.5</v>
      </c>
    </row>
    <row r="218" spans="4:9" x14ac:dyDescent="0.3">
      <c r="D218" s="53" t="s">
        <v>1255</v>
      </c>
      <c r="E218" s="52">
        <v>81</v>
      </c>
      <c r="F218" s="54">
        <v>15.8</v>
      </c>
    </row>
    <row r="219" spans="4:9" x14ac:dyDescent="0.3">
      <c r="D219" s="53" t="s">
        <v>1257</v>
      </c>
      <c r="E219" s="52">
        <v>36.333333333333336</v>
      </c>
      <c r="F219" s="54">
        <v>41.2</v>
      </c>
    </row>
    <row r="220" spans="4:9" x14ac:dyDescent="0.3">
      <c r="D220" s="53" t="s">
        <v>1259</v>
      </c>
      <c r="E220" s="52">
        <v>70</v>
      </c>
      <c r="F220" s="54">
        <v>22.4</v>
      </c>
    </row>
    <row r="221" spans="4:9" x14ac:dyDescent="0.3">
      <c r="D221" s="53" t="s">
        <v>1261</v>
      </c>
      <c r="E221" s="52">
        <v>44</v>
      </c>
      <c r="F221" s="54">
        <v>25.6</v>
      </c>
      <c r="I221">
        <f>AVERAGE(tbl_Demand_Analysis[Avg_Daily_Demand])</f>
        <v>54.15893021120295</v>
      </c>
    </row>
    <row r="222" spans="4:9" x14ac:dyDescent="0.3">
      <c r="D222" s="53" t="s">
        <v>1158</v>
      </c>
      <c r="E222" s="52">
        <v>0</v>
      </c>
      <c r="F222" s="54">
        <v>18.399999999999999</v>
      </c>
      <c r="I222">
        <f>AVERAGE(tbl_Products[Unit_Cost])</f>
        <v>13.081735537190085</v>
      </c>
    </row>
    <row r="223" spans="4:9" x14ac:dyDescent="0.3">
      <c r="D223" s="53" t="s">
        <v>1162</v>
      </c>
      <c r="E223" s="52">
        <v>55.8</v>
      </c>
      <c r="F223" s="54">
        <v>32.799999999999997</v>
      </c>
    </row>
    <row r="224" spans="4:9" x14ac:dyDescent="0.3">
      <c r="D224" s="53" t="s">
        <v>1152</v>
      </c>
      <c r="E224" s="52">
        <v>55</v>
      </c>
      <c r="F224" s="54">
        <v>38.5</v>
      </c>
    </row>
    <row r="225" spans="4:10" ht="43.2" x14ac:dyDescent="0.3">
      <c r="D225" s="53" t="s">
        <v>1160</v>
      </c>
      <c r="E225" s="52">
        <v>61.25</v>
      </c>
      <c r="F225" s="54">
        <v>14.5</v>
      </c>
      <c r="I225" s="17" t="s">
        <v>2419</v>
      </c>
      <c r="J225" s="17" t="s">
        <v>2420</v>
      </c>
    </row>
    <row r="226" spans="4:10" x14ac:dyDescent="0.3">
      <c r="D226" s="53" t="s">
        <v>1154</v>
      </c>
      <c r="E226" s="52">
        <v>31.75</v>
      </c>
      <c r="F226" s="54">
        <v>44.2</v>
      </c>
      <c r="I226" s="45">
        <v>55</v>
      </c>
      <c r="J226" s="45">
        <v>0</v>
      </c>
    </row>
    <row r="227" spans="4:10" x14ac:dyDescent="0.3">
      <c r="D227" s="53" t="s">
        <v>1135</v>
      </c>
      <c r="E227" s="52">
        <v>57.6</v>
      </c>
      <c r="F227" s="54">
        <v>48.5</v>
      </c>
      <c r="I227" s="45">
        <v>55</v>
      </c>
      <c r="J227" s="45">
        <v>60</v>
      </c>
    </row>
    <row r="228" spans="4:10" x14ac:dyDescent="0.3">
      <c r="D228" s="29" t="s">
        <v>1149</v>
      </c>
      <c r="E228" s="55">
        <v>74.666666666666671</v>
      </c>
      <c r="F228" s="27">
        <v>23.5</v>
      </c>
    </row>
    <row r="238" spans="4:10" x14ac:dyDescent="0.3">
      <c r="D238" t="s">
        <v>2393</v>
      </c>
      <c r="E238" t="s">
        <v>2396</v>
      </c>
      <c r="F238" t="s">
        <v>2422</v>
      </c>
    </row>
    <row r="239" spans="4:10" x14ac:dyDescent="0.3">
      <c r="D239" t="s">
        <v>1083</v>
      </c>
      <c r="E239">
        <v>69</v>
      </c>
      <c r="F239">
        <v>1.86</v>
      </c>
    </row>
    <row r="240" spans="4:10" x14ac:dyDescent="0.3">
      <c r="D240" t="s">
        <v>1085</v>
      </c>
      <c r="E240">
        <v>56</v>
      </c>
      <c r="F240">
        <v>12.79</v>
      </c>
    </row>
    <row r="241" spans="4:6" x14ac:dyDescent="0.3">
      <c r="D241" t="s">
        <v>1087</v>
      </c>
      <c r="E241">
        <v>39</v>
      </c>
      <c r="F241">
        <v>10.029999999999999</v>
      </c>
    </row>
    <row r="242" spans="4:6" x14ac:dyDescent="0.3">
      <c r="D242" t="s">
        <v>1089</v>
      </c>
      <c r="E242">
        <v>60.666666666666664</v>
      </c>
      <c r="F242">
        <v>4.25</v>
      </c>
    </row>
    <row r="243" spans="4:6" x14ac:dyDescent="0.3">
      <c r="D243" t="s">
        <v>1090</v>
      </c>
      <c r="E243">
        <v>57.75</v>
      </c>
      <c r="F243">
        <v>2.69</v>
      </c>
    </row>
    <row r="244" spans="4:6" x14ac:dyDescent="0.3">
      <c r="D244" t="s">
        <v>1091</v>
      </c>
      <c r="E244">
        <v>61.333333333333336</v>
      </c>
      <c r="F244">
        <v>3.15</v>
      </c>
    </row>
    <row r="245" spans="4:6" x14ac:dyDescent="0.3">
      <c r="D245" t="s">
        <v>1093</v>
      </c>
      <c r="E245">
        <v>22.5</v>
      </c>
      <c r="F245">
        <v>4.82</v>
      </c>
    </row>
    <row r="246" spans="4:6" x14ac:dyDescent="0.3">
      <c r="D246" t="s">
        <v>1095</v>
      </c>
      <c r="E246">
        <v>48.666666666666664</v>
      </c>
      <c r="F246">
        <v>32.450000000000003</v>
      </c>
    </row>
    <row r="247" spans="4:6" x14ac:dyDescent="0.3">
      <c r="D247" t="s">
        <v>1097</v>
      </c>
      <c r="E247">
        <v>81.333333333333329</v>
      </c>
      <c r="F247">
        <v>12.5</v>
      </c>
    </row>
    <row r="248" spans="4:6" x14ac:dyDescent="0.3">
      <c r="D248" t="s">
        <v>1099</v>
      </c>
      <c r="E248">
        <v>51.428571428571431</v>
      </c>
      <c r="F248">
        <v>4.75</v>
      </c>
    </row>
    <row r="249" spans="4:6" x14ac:dyDescent="0.3">
      <c r="D249" t="s">
        <v>1101</v>
      </c>
      <c r="E249">
        <v>41.5</v>
      </c>
      <c r="F249">
        <v>8.9</v>
      </c>
    </row>
    <row r="250" spans="4:6" x14ac:dyDescent="0.3">
      <c r="D250" t="s">
        <v>1102</v>
      </c>
      <c r="E250">
        <v>47.6</v>
      </c>
      <c r="F250">
        <v>22.3</v>
      </c>
    </row>
    <row r="251" spans="4:6" x14ac:dyDescent="0.3">
      <c r="D251" t="s">
        <v>1104</v>
      </c>
      <c r="E251">
        <v>37</v>
      </c>
      <c r="F251">
        <v>2.4</v>
      </c>
    </row>
    <row r="252" spans="4:6" x14ac:dyDescent="0.3">
      <c r="D252" t="s">
        <v>1106</v>
      </c>
      <c r="E252">
        <v>51.666666666666664</v>
      </c>
      <c r="F252">
        <v>3.5</v>
      </c>
    </row>
    <row r="253" spans="4:6" x14ac:dyDescent="0.3">
      <c r="D253" t="s">
        <v>1108</v>
      </c>
      <c r="E253">
        <v>36.666666666666664</v>
      </c>
      <c r="F253">
        <v>2.1</v>
      </c>
    </row>
    <row r="254" spans="4:6" x14ac:dyDescent="0.3">
      <c r="D254" t="s">
        <v>1109</v>
      </c>
      <c r="E254">
        <v>39</v>
      </c>
      <c r="F254">
        <v>3.8</v>
      </c>
    </row>
    <row r="255" spans="4:6" x14ac:dyDescent="0.3">
      <c r="D255" t="s">
        <v>1110</v>
      </c>
      <c r="E255">
        <v>49</v>
      </c>
      <c r="F255">
        <v>6.5</v>
      </c>
    </row>
    <row r="256" spans="4:6" x14ac:dyDescent="0.3">
      <c r="D256" t="s">
        <v>1111</v>
      </c>
      <c r="E256">
        <v>78.333333333333329</v>
      </c>
      <c r="F256">
        <v>9.1999999999999993</v>
      </c>
    </row>
    <row r="257" spans="4:6" x14ac:dyDescent="0.3">
      <c r="D257" t="s">
        <v>1112</v>
      </c>
      <c r="E257">
        <v>63.285714285714285</v>
      </c>
      <c r="F257">
        <v>2.75</v>
      </c>
    </row>
    <row r="258" spans="4:6" x14ac:dyDescent="0.3">
      <c r="D258" t="s">
        <v>1113</v>
      </c>
      <c r="E258">
        <v>51.25</v>
      </c>
      <c r="F258">
        <v>5.4</v>
      </c>
    </row>
    <row r="259" spans="4:6" x14ac:dyDescent="0.3">
      <c r="D259" t="s">
        <v>1115</v>
      </c>
      <c r="E259">
        <v>35.5</v>
      </c>
      <c r="F259">
        <v>15.6</v>
      </c>
    </row>
    <row r="260" spans="4:6" x14ac:dyDescent="0.3">
      <c r="D260" t="s">
        <v>1117</v>
      </c>
      <c r="E260">
        <v>62.666666666666664</v>
      </c>
      <c r="F260">
        <v>18.399999999999999</v>
      </c>
    </row>
    <row r="261" spans="4:6" x14ac:dyDescent="0.3">
      <c r="D261" t="s">
        <v>1120</v>
      </c>
      <c r="E261">
        <v>72.166666666666671</v>
      </c>
      <c r="F261">
        <v>4.2</v>
      </c>
    </row>
    <row r="262" spans="4:6" x14ac:dyDescent="0.3">
      <c r="D262" t="s">
        <v>1122</v>
      </c>
      <c r="E262">
        <v>41</v>
      </c>
      <c r="F262">
        <v>2.9</v>
      </c>
    </row>
    <row r="263" spans="4:6" x14ac:dyDescent="0.3">
      <c r="D263" t="s">
        <v>1123</v>
      </c>
      <c r="E263">
        <v>50.4</v>
      </c>
      <c r="F263">
        <v>5.0999999999999996</v>
      </c>
    </row>
    <row r="264" spans="4:6" x14ac:dyDescent="0.3">
      <c r="D264" t="s">
        <v>1126</v>
      </c>
      <c r="E264">
        <v>63</v>
      </c>
      <c r="F264">
        <v>38.200000000000003</v>
      </c>
    </row>
    <row r="265" spans="4:6" x14ac:dyDescent="0.3">
      <c r="D265" t="s">
        <v>1129</v>
      </c>
      <c r="E265">
        <v>50.833333333333336</v>
      </c>
      <c r="F265">
        <v>22.5</v>
      </c>
    </row>
    <row r="266" spans="4:6" x14ac:dyDescent="0.3">
      <c r="D266" t="s">
        <v>1130</v>
      </c>
      <c r="E266">
        <v>36.5</v>
      </c>
      <c r="F266">
        <v>2.2000000000000002</v>
      </c>
    </row>
    <row r="267" spans="4:6" x14ac:dyDescent="0.3">
      <c r="D267" t="s">
        <v>1132</v>
      </c>
      <c r="E267">
        <v>64.666666666666671</v>
      </c>
      <c r="F267">
        <v>12.4</v>
      </c>
    </row>
    <row r="268" spans="4:6" x14ac:dyDescent="0.3">
      <c r="D268" t="s">
        <v>1134</v>
      </c>
      <c r="E268">
        <v>45.25</v>
      </c>
      <c r="F268">
        <v>44.9</v>
      </c>
    </row>
    <row r="269" spans="4:6" x14ac:dyDescent="0.3">
      <c r="D269" t="s">
        <v>1136</v>
      </c>
      <c r="E269">
        <v>36.5</v>
      </c>
      <c r="F269">
        <v>4.5</v>
      </c>
    </row>
    <row r="270" spans="4:6" x14ac:dyDescent="0.3">
      <c r="D270" t="s">
        <v>1138</v>
      </c>
      <c r="E270">
        <v>48.333333333333336</v>
      </c>
      <c r="F270">
        <v>3.2</v>
      </c>
    </row>
    <row r="271" spans="4:6" x14ac:dyDescent="0.3">
      <c r="D271" t="s">
        <v>1141</v>
      </c>
      <c r="E271">
        <v>78</v>
      </c>
      <c r="F271">
        <v>5.8</v>
      </c>
    </row>
    <row r="272" spans="4:6" x14ac:dyDescent="0.3">
      <c r="D272" t="s">
        <v>1142</v>
      </c>
      <c r="E272">
        <v>55</v>
      </c>
      <c r="F272">
        <v>2.5</v>
      </c>
    </row>
    <row r="273" spans="4:6" x14ac:dyDescent="0.3">
      <c r="D273" t="s">
        <v>1145</v>
      </c>
      <c r="E273">
        <v>62.8</v>
      </c>
      <c r="F273">
        <v>7.1</v>
      </c>
    </row>
    <row r="274" spans="4:6" x14ac:dyDescent="0.3">
      <c r="D274" t="s">
        <v>1146</v>
      </c>
      <c r="E274">
        <v>45</v>
      </c>
      <c r="F274">
        <v>28.5</v>
      </c>
    </row>
    <row r="275" spans="4:6" x14ac:dyDescent="0.3">
      <c r="D275" t="s">
        <v>1147</v>
      </c>
      <c r="E275">
        <v>85.166666666666671</v>
      </c>
      <c r="F275">
        <v>3.95</v>
      </c>
    </row>
    <row r="276" spans="4:6" x14ac:dyDescent="0.3">
      <c r="D276" t="s">
        <v>1148</v>
      </c>
      <c r="E276">
        <v>70.333333333333329</v>
      </c>
      <c r="F276">
        <v>19.8</v>
      </c>
    </row>
    <row r="277" spans="4:6" x14ac:dyDescent="0.3">
      <c r="D277" t="s">
        <v>1150</v>
      </c>
      <c r="E277">
        <v>59.375</v>
      </c>
      <c r="F277">
        <v>24.3</v>
      </c>
    </row>
    <row r="278" spans="4:6" x14ac:dyDescent="0.3">
      <c r="D278" t="s">
        <v>1151</v>
      </c>
      <c r="E278">
        <v>55</v>
      </c>
      <c r="F278">
        <v>35.6</v>
      </c>
    </row>
    <row r="279" spans="4:6" x14ac:dyDescent="0.3">
      <c r="D279" t="s">
        <v>1153</v>
      </c>
      <c r="E279">
        <v>51.6</v>
      </c>
      <c r="F279">
        <v>42.1</v>
      </c>
    </row>
    <row r="280" spans="4:6" x14ac:dyDescent="0.3">
      <c r="D280" t="s">
        <v>1155</v>
      </c>
      <c r="E280">
        <v>46.333333333333336</v>
      </c>
      <c r="F280">
        <v>4.0999999999999996</v>
      </c>
    </row>
    <row r="281" spans="4:6" x14ac:dyDescent="0.3">
      <c r="D281" t="s">
        <v>1156</v>
      </c>
      <c r="E281">
        <v>59.2</v>
      </c>
      <c r="F281">
        <v>6.2</v>
      </c>
    </row>
    <row r="282" spans="4:6" x14ac:dyDescent="0.3">
      <c r="D282" t="s">
        <v>1157</v>
      </c>
      <c r="E282">
        <v>39</v>
      </c>
      <c r="F282">
        <v>14.5</v>
      </c>
    </row>
    <row r="283" spans="4:6" x14ac:dyDescent="0.3">
      <c r="D283" t="s">
        <v>1159</v>
      </c>
      <c r="E283">
        <v>44.375</v>
      </c>
      <c r="F283">
        <v>12.8</v>
      </c>
    </row>
    <row r="284" spans="4:6" x14ac:dyDescent="0.3">
      <c r="D284" t="s">
        <v>1161</v>
      </c>
      <c r="E284">
        <v>76.2</v>
      </c>
      <c r="F284">
        <v>30.4</v>
      </c>
    </row>
    <row r="285" spans="4:6" x14ac:dyDescent="0.3">
      <c r="D285" t="s">
        <v>1163</v>
      </c>
      <c r="E285">
        <v>57</v>
      </c>
      <c r="F285">
        <v>2.5</v>
      </c>
    </row>
    <row r="286" spans="4:6" x14ac:dyDescent="0.3">
      <c r="D286" t="s">
        <v>1164</v>
      </c>
      <c r="E286">
        <v>53.666666666666664</v>
      </c>
      <c r="F286">
        <v>18.899999999999999</v>
      </c>
    </row>
    <row r="287" spans="4:6" x14ac:dyDescent="0.3">
      <c r="D287" t="s">
        <v>1165</v>
      </c>
      <c r="E287">
        <v>46.75</v>
      </c>
      <c r="F287">
        <v>15.2</v>
      </c>
    </row>
    <row r="288" spans="4:6" x14ac:dyDescent="0.3">
      <c r="D288" t="s">
        <v>1168</v>
      </c>
      <c r="E288">
        <v>56.75</v>
      </c>
      <c r="F288">
        <v>4.8</v>
      </c>
    </row>
    <row r="289" spans="4:6" x14ac:dyDescent="0.3">
      <c r="D289" t="s">
        <v>1170</v>
      </c>
      <c r="E289">
        <v>67</v>
      </c>
      <c r="F289">
        <v>3.2</v>
      </c>
    </row>
    <row r="290" spans="4:6" x14ac:dyDescent="0.3">
      <c r="D290" t="s">
        <v>1172</v>
      </c>
      <c r="E290">
        <v>87</v>
      </c>
      <c r="F290">
        <v>9.4</v>
      </c>
    </row>
    <row r="291" spans="4:6" x14ac:dyDescent="0.3">
      <c r="D291" t="s">
        <v>1173</v>
      </c>
      <c r="E291">
        <v>49.333333333333336</v>
      </c>
      <c r="F291">
        <v>11.2</v>
      </c>
    </row>
    <row r="292" spans="4:6" x14ac:dyDescent="0.3">
      <c r="D292" t="s">
        <v>1174</v>
      </c>
      <c r="E292">
        <v>56.833333333333336</v>
      </c>
      <c r="F292">
        <v>14.3</v>
      </c>
    </row>
    <row r="293" spans="4:6" x14ac:dyDescent="0.3">
      <c r="D293" t="s">
        <v>1176</v>
      </c>
      <c r="E293">
        <v>33.428571428571431</v>
      </c>
      <c r="F293">
        <v>8.5</v>
      </c>
    </row>
    <row r="294" spans="4:6" x14ac:dyDescent="0.3">
      <c r="D294" t="s">
        <v>1177</v>
      </c>
      <c r="E294">
        <v>68.75</v>
      </c>
      <c r="F294">
        <v>15.7</v>
      </c>
    </row>
    <row r="295" spans="4:6" x14ac:dyDescent="0.3">
      <c r="D295" t="s">
        <v>1179</v>
      </c>
      <c r="E295">
        <v>61.666666666666664</v>
      </c>
      <c r="F295">
        <v>9.8000000000000007</v>
      </c>
    </row>
    <row r="296" spans="4:6" x14ac:dyDescent="0.3">
      <c r="D296" t="s">
        <v>1180</v>
      </c>
      <c r="E296">
        <v>65.666666666666671</v>
      </c>
      <c r="F296">
        <v>11.4</v>
      </c>
    </row>
    <row r="297" spans="4:6" x14ac:dyDescent="0.3">
      <c r="D297" t="s">
        <v>1181</v>
      </c>
      <c r="E297">
        <v>49.142857142857146</v>
      </c>
      <c r="F297">
        <v>3.85</v>
      </c>
    </row>
    <row r="298" spans="4:6" x14ac:dyDescent="0.3">
      <c r="D298" t="s">
        <v>1183</v>
      </c>
      <c r="E298">
        <v>60</v>
      </c>
      <c r="F298">
        <v>4.4000000000000004</v>
      </c>
    </row>
    <row r="299" spans="4:6" x14ac:dyDescent="0.3">
      <c r="D299" t="s">
        <v>1185</v>
      </c>
      <c r="E299">
        <v>71</v>
      </c>
      <c r="F299">
        <v>5.2</v>
      </c>
    </row>
    <row r="300" spans="4:6" x14ac:dyDescent="0.3">
      <c r="D300" t="s">
        <v>1186</v>
      </c>
      <c r="E300">
        <v>49.6</v>
      </c>
      <c r="F300">
        <v>4.0999999999999996</v>
      </c>
    </row>
    <row r="301" spans="4:6" x14ac:dyDescent="0.3">
      <c r="D301" t="s">
        <v>1187</v>
      </c>
      <c r="E301">
        <v>59</v>
      </c>
      <c r="F301">
        <v>6.5</v>
      </c>
    </row>
    <row r="302" spans="4:6" x14ac:dyDescent="0.3">
      <c r="D302" t="s">
        <v>1189</v>
      </c>
      <c r="E302">
        <v>54.25</v>
      </c>
      <c r="F302">
        <v>3.5</v>
      </c>
    </row>
    <row r="303" spans="4:6" x14ac:dyDescent="0.3">
      <c r="D303" t="s">
        <v>1190</v>
      </c>
      <c r="E303">
        <v>81.285714285714292</v>
      </c>
      <c r="F303">
        <v>2.9</v>
      </c>
    </row>
    <row r="304" spans="4:6" x14ac:dyDescent="0.3">
      <c r="D304" t="s">
        <v>1191</v>
      </c>
      <c r="E304">
        <v>56.25</v>
      </c>
      <c r="F304">
        <v>3.2</v>
      </c>
    </row>
    <row r="305" spans="4:6" x14ac:dyDescent="0.3">
      <c r="D305" t="s">
        <v>1193</v>
      </c>
      <c r="E305">
        <v>57</v>
      </c>
      <c r="F305">
        <v>6.8</v>
      </c>
    </row>
    <row r="306" spans="4:6" x14ac:dyDescent="0.3">
      <c r="D306" t="s">
        <v>1195</v>
      </c>
      <c r="E306">
        <v>54.875</v>
      </c>
      <c r="F306">
        <v>2.5</v>
      </c>
    </row>
    <row r="307" spans="4:6" x14ac:dyDescent="0.3">
      <c r="D307" t="s">
        <v>1197</v>
      </c>
      <c r="E307">
        <v>50.333333333333336</v>
      </c>
      <c r="F307">
        <v>18.2</v>
      </c>
    </row>
    <row r="308" spans="4:6" x14ac:dyDescent="0.3">
      <c r="D308" t="s">
        <v>1199</v>
      </c>
      <c r="E308">
        <v>53.166666666666664</v>
      </c>
      <c r="F308">
        <v>4.5</v>
      </c>
    </row>
    <row r="309" spans="4:6" x14ac:dyDescent="0.3">
      <c r="D309" t="s">
        <v>1201</v>
      </c>
      <c r="E309">
        <v>58</v>
      </c>
      <c r="F309">
        <v>13.4</v>
      </c>
    </row>
    <row r="310" spans="4:6" x14ac:dyDescent="0.3">
      <c r="D310" t="s">
        <v>1202</v>
      </c>
      <c r="E310">
        <v>58.222222222222221</v>
      </c>
      <c r="F310">
        <v>21.1</v>
      </c>
    </row>
    <row r="311" spans="4:6" x14ac:dyDescent="0.3">
      <c r="D311" t="s">
        <v>1203</v>
      </c>
      <c r="E311">
        <v>62.666666666666664</v>
      </c>
      <c r="F311">
        <v>7.8</v>
      </c>
    </row>
    <row r="312" spans="4:6" x14ac:dyDescent="0.3">
      <c r="D312" t="s">
        <v>1204</v>
      </c>
      <c r="E312">
        <v>77</v>
      </c>
      <c r="F312">
        <v>16.5</v>
      </c>
    </row>
    <row r="313" spans="4:6" x14ac:dyDescent="0.3">
      <c r="D313" t="s">
        <v>1206</v>
      </c>
      <c r="E313">
        <v>52.5</v>
      </c>
      <c r="F313">
        <v>5.2</v>
      </c>
    </row>
    <row r="314" spans="4:6" x14ac:dyDescent="0.3">
      <c r="D314" t="s">
        <v>1208</v>
      </c>
      <c r="E314">
        <v>42.666666666666664</v>
      </c>
      <c r="F314">
        <v>6.4</v>
      </c>
    </row>
    <row r="315" spans="4:6" x14ac:dyDescent="0.3">
      <c r="D315" t="s">
        <v>1210</v>
      </c>
      <c r="E315">
        <v>66.25</v>
      </c>
      <c r="F315">
        <v>24.8</v>
      </c>
    </row>
    <row r="316" spans="4:6" x14ac:dyDescent="0.3">
      <c r="D316" t="s">
        <v>1212</v>
      </c>
      <c r="E316">
        <v>53.75</v>
      </c>
      <c r="F316">
        <v>12.4</v>
      </c>
    </row>
    <row r="317" spans="4:6" x14ac:dyDescent="0.3">
      <c r="D317" t="s">
        <v>1214</v>
      </c>
      <c r="E317">
        <v>53.2</v>
      </c>
      <c r="F317">
        <v>15.6</v>
      </c>
    </row>
    <row r="318" spans="4:6" x14ac:dyDescent="0.3">
      <c r="D318" t="s">
        <v>1216</v>
      </c>
      <c r="E318">
        <v>56</v>
      </c>
      <c r="F318">
        <v>8.1999999999999993</v>
      </c>
    </row>
    <row r="319" spans="4:6" x14ac:dyDescent="0.3">
      <c r="D319" t="s">
        <v>1217</v>
      </c>
      <c r="E319">
        <v>53.75</v>
      </c>
      <c r="F319">
        <v>9.5</v>
      </c>
    </row>
    <row r="320" spans="4:6" x14ac:dyDescent="0.3">
      <c r="D320" t="s">
        <v>1218</v>
      </c>
      <c r="E320">
        <v>42.25</v>
      </c>
      <c r="F320">
        <v>14.2</v>
      </c>
    </row>
    <row r="321" spans="4:6" x14ac:dyDescent="0.3">
      <c r="D321" t="s">
        <v>1219</v>
      </c>
      <c r="E321">
        <v>41.166666666666664</v>
      </c>
      <c r="F321">
        <v>2.8</v>
      </c>
    </row>
    <row r="322" spans="4:6" x14ac:dyDescent="0.3">
      <c r="D322" t="s">
        <v>1220</v>
      </c>
      <c r="E322">
        <v>70</v>
      </c>
      <c r="F322">
        <v>3.1</v>
      </c>
    </row>
    <row r="323" spans="4:6" x14ac:dyDescent="0.3">
      <c r="D323" t="s">
        <v>1221</v>
      </c>
      <c r="E323">
        <v>0</v>
      </c>
      <c r="F323">
        <v>2.5</v>
      </c>
    </row>
    <row r="324" spans="4:6" x14ac:dyDescent="0.3">
      <c r="D324" t="s">
        <v>1222</v>
      </c>
      <c r="E324">
        <v>53.8</v>
      </c>
      <c r="F324">
        <v>22.4</v>
      </c>
    </row>
    <row r="325" spans="4:6" x14ac:dyDescent="0.3">
      <c r="D325" t="s">
        <v>1223</v>
      </c>
      <c r="E325">
        <v>68.333333333333329</v>
      </c>
      <c r="F325">
        <v>4.2</v>
      </c>
    </row>
    <row r="326" spans="4:6" x14ac:dyDescent="0.3">
      <c r="D326" t="s">
        <v>1224</v>
      </c>
      <c r="E326">
        <v>65</v>
      </c>
      <c r="F326">
        <v>19.5</v>
      </c>
    </row>
    <row r="327" spans="4:6" x14ac:dyDescent="0.3">
      <c r="D327" t="s">
        <v>1225</v>
      </c>
      <c r="E327">
        <v>56.6</v>
      </c>
      <c r="F327">
        <v>2.1</v>
      </c>
    </row>
    <row r="328" spans="4:6" x14ac:dyDescent="0.3">
      <c r="D328" t="s">
        <v>1226</v>
      </c>
      <c r="E328">
        <v>63.333333333333336</v>
      </c>
      <c r="F328">
        <v>11.8</v>
      </c>
    </row>
    <row r="329" spans="4:6" x14ac:dyDescent="0.3">
      <c r="D329" t="s">
        <v>1227</v>
      </c>
      <c r="E329">
        <v>48.333333333333336</v>
      </c>
      <c r="F329">
        <v>2.5</v>
      </c>
    </row>
    <row r="330" spans="4:6" x14ac:dyDescent="0.3">
      <c r="D330" t="s">
        <v>1228</v>
      </c>
      <c r="E330">
        <v>67.333333333333329</v>
      </c>
      <c r="F330">
        <v>8.9</v>
      </c>
    </row>
    <row r="331" spans="4:6" x14ac:dyDescent="0.3">
      <c r="D331" t="s">
        <v>1229</v>
      </c>
      <c r="E331">
        <v>40.428571428571431</v>
      </c>
      <c r="F331">
        <v>7.2</v>
      </c>
    </row>
    <row r="332" spans="4:6" x14ac:dyDescent="0.3">
      <c r="D332" t="s">
        <v>1230</v>
      </c>
      <c r="E332">
        <v>55.8</v>
      </c>
      <c r="F332">
        <v>4.8</v>
      </c>
    </row>
    <row r="333" spans="4:6" x14ac:dyDescent="0.3">
      <c r="D333" t="s">
        <v>1231</v>
      </c>
      <c r="E333">
        <v>51.25</v>
      </c>
      <c r="F333">
        <v>2.9</v>
      </c>
    </row>
    <row r="334" spans="4:6" x14ac:dyDescent="0.3">
      <c r="D334" t="s">
        <v>1232</v>
      </c>
      <c r="E334">
        <v>81.666666666666671</v>
      </c>
      <c r="F334">
        <v>3.2</v>
      </c>
    </row>
    <row r="335" spans="4:6" x14ac:dyDescent="0.3">
      <c r="D335" t="s">
        <v>1233</v>
      </c>
      <c r="E335">
        <v>48.166666666666664</v>
      </c>
      <c r="F335">
        <v>2.15</v>
      </c>
    </row>
    <row r="336" spans="4:6" x14ac:dyDescent="0.3">
      <c r="D336" t="s">
        <v>1234</v>
      </c>
      <c r="E336">
        <v>57</v>
      </c>
      <c r="F336">
        <v>5.4</v>
      </c>
    </row>
    <row r="337" spans="4:6" x14ac:dyDescent="0.3">
      <c r="D337" t="s">
        <v>1235</v>
      </c>
      <c r="E337">
        <v>45.666666666666664</v>
      </c>
      <c r="F337">
        <v>5.8</v>
      </c>
    </row>
    <row r="338" spans="4:6" x14ac:dyDescent="0.3">
      <c r="D338" t="s">
        <v>1236</v>
      </c>
      <c r="E338">
        <v>56.5</v>
      </c>
      <c r="F338">
        <v>1.5</v>
      </c>
    </row>
    <row r="339" spans="4:6" x14ac:dyDescent="0.3">
      <c r="D339" t="s">
        <v>1237</v>
      </c>
      <c r="E339">
        <v>18</v>
      </c>
      <c r="F339">
        <v>34.200000000000003</v>
      </c>
    </row>
    <row r="340" spans="4:6" x14ac:dyDescent="0.3">
      <c r="D340" t="s">
        <v>1238</v>
      </c>
      <c r="E340">
        <v>44.333333333333336</v>
      </c>
      <c r="F340">
        <v>21.5</v>
      </c>
    </row>
    <row r="341" spans="4:6" x14ac:dyDescent="0.3">
      <c r="D341" t="s">
        <v>1240</v>
      </c>
      <c r="E341">
        <v>55</v>
      </c>
      <c r="F341">
        <v>26.8</v>
      </c>
    </row>
    <row r="342" spans="4:6" x14ac:dyDescent="0.3">
      <c r="D342" t="s">
        <v>1242</v>
      </c>
      <c r="E342">
        <v>36</v>
      </c>
      <c r="F342">
        <v>14.2</v>
      </c>
    </row>
    <row r="343" spans="4:6" x14ac:dyDescent="0.3">
      <c r="D343" t="s">
        <v>1244</v>
      </c>
      <c r="E343">
        <v>24</v>
      </c>
      <c r="F343">
        <v>16.5</v>
      </c>
    </row>
    <row r="344" spans="4:6" x14ac:dyDescent="0.3">
      <c r="D344" t="s">
        <v>1246</v>
      </c>
      <c r="E344">
        <v>48.25</v>
      </c>
      <c r="F344">
        <v>31.4</v>
      </c>
    </row>
    <row r="345" spans="4:6" x14ac:dyDescent="0.3">
      <c r="D345" t="s">
        <v>1248</v>
      </c>
      <c r="E345">
        <v>71.666666666666671</v>
      </c>
      <c r="F345">
        <v>10.199999999999999</v>
      </c>
    </row>
    <row r="346" spans="4:6" x14ac:dyDescent="0.3">
      <c r="D346" t="s">
        <v>1249</v>
      </c>
      <c r="E346">
        <v>73.166666666666671</v>
      </c>
      <c r="F346">
        <v>11.5</v>
      </c>
    </row>
    <row r="347" spans="4:6" x14ac:dyDescent="0.3">
      <c r="D347" t="s">
        <v>1251</v>
      </c>
      <c r="E347">
        <v>48.25</v>
      </c>
      <c r="F347">
        <v>28.4</v>
      </c>
    </row>
    <row r="348" spans="4:6" x14ac:dyDescent="0.3">
      <c r="D348" t="s">
        <v>1252</v>
      </c>
      <c r="E348">
        <v>43.6</v>
      </c>
      <c r="F348">
        <v>36.5</v>
      </c>
    </row>
    <row r="349" spans="4:6" x14ac:dyDescent="0.3">
      <c r="D349" t="s">
        <v>1254</v>
      </c>
      <c r="E349">
        <v>81</v>
      </c>
      <c r="F349">
        <v>15.8</v>
      </c>
    </row>
    <row r="350" spans="4:6" x14ac:dyDescent="0.3">
      <c r="D350" t="s">
        <v>1256</v>
      </c>
      <c r="E350">
        <v>36.333333333333336</v>
      </c>
      <c r="F350">
        <v>41.2</v>
      </c>
    </row>
    <row r="351" spans="4:6" x14ac:dyDescent="0.3">
      <c r="D351" t="s">
        <v>1258</v>
      </c>
      <c r="E351">
        <v>70</v>
      </c>
      <c r="F351">
        <v>22.4</v>
      </c>
    </row>
    <row r="352" spans="4:6" x14ac:dyDescent="0.3">
      <c r="D352" t="s">
        <v>1260</v>
      </c>
      <c r="E352">
        <v>44</v>
      </c>
      <c r="F352">
        <v>25.6</v>
      </c>
    </row>
    <row r="353" spans="4:11" x14ac:dyDescent="0.3">
      <c r="D353" t="s">
        <v>1262</v>
      </c>
      <c r="E353">
        <v>0</v>
      </c>
      <c r="F353">
        <v>18.399999999999999</v>
      </c>
    </row>
    <row r="354" spans="4:11" x14ac:dyDescent="0.3">
      <c r="D354" t="s">
        <v>1263</v>
      </c>
      <c r="E354">
        <v>55.8</v>
      </c>
      <c r="F354">
        <v>32.799999999999997</v>
      </c>
    </row>
    <row r="355" spans="4:11" x14ac:dyDescent="0.3">
      <c r="D355" t="s">
        <v>1264</v>
      </c>
      <c r="E355">
        <v>55</v>
      </c>
      <c r="F355">
        <v>38.5</v>
      </c>
    </row>
    <row r="356" spans="4:11" x14ac:dyDescent="0.3">
      <c r="D356" t="s">
        <v>1265</v>
      </c>
      <c r="E356">
        <v>61.25</v>
      </c>
      <c r="F356">
        <v>14.5</v>
      </c>
    </row>
    <row r="357" spans="4:11" x14ac:dyDescent="0.3">
      <c r="D357" t="s">
        <v>1266</v>
      </c>
      <c r="E357">
        <v>31.75</v>
      </c>
      <c r="F357">
        <v>44.2</v>
      </c>
    </row>
    <row r="358" spans="4:11" x14ac:dyDescent="0.3">
      <c r="D358" t="s">
        <v>1267</v>
      </c>
      <c r="E358">
        <v>57.6</v>
      </c>
      <c r="F358">
        <v>48.5</v>
      </c>
    </row>
    <row r="359" spans="4:11" x14ac:dyDescent="0.3">
      <c r="D359" t="s">
        <v>1268</v>
      </c>
      <c r="E359">
        <v>74.666666666666671</v>
      </c>
      <c r="F359">
        <v>23.5</v>
      </c>
    </row>
    <row r="360" spans="4:11" x14ac:dyDescent="0.3">
      <c r="D360" t="s">
        <v>2394</v>
      </c>
      <c r="E360">
        <v>6553.2305555555567</v>
      </c>
      <c r="F360">
        <v>1582.89</v>
      </c>
    </row>
    <row r="361" spans="4:11" x14ac:dyDescent="0.3">
      <c r="H361">
        <f>AVERAGE(tbl_Demand_Analysis[Avg_Daily_Demand])</f>
        <v>54.15893021120295</v>
      </c>
    </row>
    <row r="362" spans="4:11" x14ac:dyDescent="0.3">
      <c r="H362">
        <f>AVERAGE(tbl_Products[Unit_Cost])</f>
        <v>13.081735537190085</v>
      </c>
    </row>
    <row r="364" spans="4:11" x14ac:dyDescent="0.3">
      <c r="G364" s="17" t="s">
        <v>2419</v>
      </c>
      <c r="H364" s="17" t="s">
        <v>2420</v>
      </c>
      <c r="J364" s="17" t="s">
        <v>2423</v>
      </c>
      <c r="K364" s="17" t="s">
        <v>2424</v>
      </c>
    </row>
    <row r="365" spans="4:11" x14ac:dyDescent="0.3">
      <c r="G365" s="57">
        <v>54.158999999999999</v>
      </c>
      <c r="H365" s="57">
        <v>0</v>
      </c>
      <c r="J365" s="57">
        <v>0</v>
      </c>
      <c r="K365" s="57">
        <v>13.082000000000001</v>
      </c>
    </row>
    <row r="366" spans="4:11" x14ac:dyDescent="0.3">
      <c r="G366" s="57">
        <v>54.158999999999999</v>
      </c>
      <c r="H366" s="57">
        <v>60</v>
      </c>
      <c r="J366" s="57">
        <v>100</v>
      </c>
      <c r="K366" s="57">
        <v>13.082000000000001</v>
      </c>
    </row>
    <row r="370" spans="6:9" x14ac:dyDescent="0.3">
      <c r="F370" t="s">
        <v>2426</v>
      </c>
    </row>
    <row r="371" spans="6:9" x14ac:dyDescent="0.3">
      <c r="F371">
        <v>4140</v>
      </c>
      <c r="I371" s="58" t="s">
        <v>2425</v>
      </c>
    </row>
    <row r="373" spans="6:9" x14ac:dyDescent="0.3">
      <c r="I373">
        <f>SUM(tbl_Reorder_Optimization[Reorder_Point])-SUM(tbl_Reorder_Optimization[Current_Stock])</f>
        <v>4140</v>
      </c>
    </row>
    <row r="389" spans="5:6" x14ac:dyDescent="0.3">
      <c r="E389" s="41" t="s">
        <v>2399</v>
      </c>
      <c r="F389" t="s" vm="1">
        <v>2427</v>
      </c>
    </row>
    <row r="391" spans="5:6" x14ac:dyDescent="0.3">
      <c r="E391" s="41" t="s">
        <v>2393</v>
      </c>
      <c r="F391" t="s">
        <v>2426</v>
      </c>
    </row>
    <row r="392" spans="5:6" x14ac:dyDescent="0.3">
      <c r="E392" s="42" t="s">
        <v>2447</v>
      </c>
      <c r="F392">
        <v>650</v>
      </c>
    </row>
    <row r="393" spans="5:6" x14ac:dyDescent="0.3">
      <c r="E393" s="42" t="s">
        <v>1154</v>
      </c>
      <c r="F393">
        <v>654</v>
      </c>
    </row>
    <row r="394" spans="5:6" x14ac:dyDescent="0.3">
      <c r="E394" s="42" t="s">
        <v>2466</v>
      </c>
      <c r="F394">
        <v>658</v>
      </c>
    </row>
    <row r="395" spans="5:6" x14ac:dyDescent="0.3">
      <c r="E395" s="42" t="s">
        <v>2449</v>
      </c>
      <c r="F395">
        <v>700</v>
      </c>
    </row>
    <row r="396" spans="5:6" x14ac:dyDescent="0.3">
      <c r="E396" s="42" t="s">
        <v>2477</v>
      </c>
      <c r="F396">
        <v>711</v>
      </c>
    </row>
    <row r="397" spans="5:6" x14ac:dyDescent="0.3">
      <c r="E397" s="42" t="s">
        <v>2469</v>
      </c>
      <c r="F397">
        <v>716</v>
      </c>
    </row>
    <row r="398" spans="5:6" x14ac:dyDescent="0.3">
      <c r="E398" s="42" t="s">
        <v>2461</v>
      </c>
      <c r="F398">
        <v>800</v>
      </c>
    </row>
    <row r="399" spans="5:6" x14ac:dyDescent="0.3">
      <c r="E399" s="42" t="s">
        <v>1152</v>
      </c>
      <c r="F399">
        <v>873</v>
      </c>
    </row>
    <row r="400" spans="5:6" x14ac:dyDescent="0.3">
      <c r="E400" s="42" t="s">
        <v>2433</v>
      </c>
      <c r="F400">
        <v>950</v>
      </c>
    </row>
    <row r="401" spans="5:6" x14ac:dyDescent="0.3">
      <c r="E401" s="42" t="s">
        <v>1135</v>
      </c>
      <c r="F401">
        <v>1098</v>
      </c>
    </row>
    <row r="402" spans="5:6" x14ac:dyDescent="0.3">
      <c r="E402" s="42" t="s">
        <v>2394</v>
      </c>
      <c r="F402">
        <v>7810</v>
      </c>
    </row>
  </sheetData>
  <pageMargins left="0.7" right="0.7" top="0.75" bottom="0.75" header="0.3" footer="0.3"/>
  <drawing r:id="rId8"/>
  <tableParts count="1">
    <tablePart r:id="rId9"/>
  </tableParts>
  <extLst>
    <ext xmlns:x14="http://schemas.microsoft.com/office/spreadsheetml/2009/9/main" uri="{A8765BA9-456A-4dab-B4F3-ACF838C121DE}">
      <x14:slicerList>
        <x14:slicer r:id="rId10"/>
      </x14:slicerList>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8B1436-D354-417F-ADDD-FD5F3A8C3A50}">
  <dimension ref="A1:U85"/>
  <sheetViews>
    <sheetView showGridLines="0" tabSelected="1" topLeftCell="D1" zoomScale="130" zoomScaleNormal="107" workbookViewId="0">
      <selection activeCell="AC89" sqref="AC89"/>
    </sheetView>
  </sheetViews>
  <sheetFormatPr defaultRowHeight="14.4" x14ac:dyDescent="0.3"/>
  <cols>
    <col min="22" max="22" width="8.88671875" customWidth="1"/>
    <col min="23" max="23" width="0.33203125" customWidth="1"/>
  </cols>
  <sheetData>
    <row r="1" spans="1:21" x14ac:dyDescent="0.3">
      <c r="A1" t="s">
        <v>2392</v>
      </c>
    </row>
    <row r="11" spans="1:21" x14ac:dyDescent="0.3">
      <c r="U11" s="18"/>
    </row>
    <row r="46" hidden="1" x14ac:dyDescent="0.3"/>
    <row r="47" hidden="1" x14ac:dyDescent="0.3"/>
    <row r="48" hidden="1" x14ac:dyDescent="0.3"/>
    <row r="49" hidden="1" x14ac:dyDescent="0.3"/>
    <row r="50" hidden="1" x14ac:dyDescent="0.3"/>
    <row r="51" hidden="1" x14ac:dyDescent="0.3"/>
    <row r="52" hidden="1" x14ac:dyDescent="0.3"/>
    <row r="53" hidden="1" x14ac:dyDescent="0.3"/>
    <row r="54" hidden="1" x14ac:dyDescent="0.3"/>
    <row r="55" hidden="1" x14ac:dyDescent="0.3"/>
    <row r="56" hidden="1" x14ac:dyDescent="0.3"/>
    <row r="57" hidden="1" x14ac:dyDescent="0.3"/>
    <row r="58" hidden="1" x14ac:dyDescent="0.3"/>
    <row r="59" hidden="1" x14ac:dyDescent="0.3"/>
    <row r="60" hidden="1" x14ac:dyDescent="0.3"/>
    <row r="61" hidden="1" x14ac:dyDescent="0.3"/>
    <row r="62" hidden="1" x14ac:dyDescent="0.3"/>
    <row r="63" hidden="1" x14ac:dyDescent="0.3"/>
    <row r="64" hidden="1" x14ac:dyDescent="0.3"/>
    <row r="65" hidden="1" x14ac:dyDescent="0.3"/>
    <row r="66" hidden="1" x14ac:dyDescent="0.3"/>
    <row r="67" hidden="1" x14ac:dyDescent="0.3"/>
    <row r="68" hidden="1" x14ac:dyDescent="0.3"/>
    <row r="69" hidden="1" x14ac:dyDescent="0.3"/>
    <row r="70" hidden="1" x14ac:dyDescent="0.3"/>
    <row r="71" hidden="1" x14ac:dyDescent="0.3"/>
    <row r="72" hidden="1" x14ac:dyDescent="0.3"/>
    <row r="73" hidden="1" x14ac:dyDescent="0.3"/>
    <row r="74" hidden="1" x14ac:dyDescent="0.3"/>
    <row r="75" hidden="1" x14ac:dyDescent="0.3"/>
    <row r="76" hidden="1" x14ac:dyDescent="0.3"/>
    <row r="77" hidden="1" x14ac:dyDescent="0.3"/>
    <row r="78" hidden="1" x14ac:dyDescent="0.3"/>
    <row r="79" hidden="1" x14ac:dyDescent="0.3"/>
    <row r="80" hidden="1" x14ac:dyDescent="0.3"/>
    <row r="81" hidden="1" x14ac:dyDescent="0.3"/>
    <row r="82" hidden="1" x14ac:dyDescent="0.3"/>
    <row r="83" hidden="1" x14ac:dyDescent="0.3"/>
    <row r="84" hidden="1" x14ac:dyDescent="0.3"/>
    <row r="85" hidden="1" x14ac:dyDescent="0.3"/>
  </sheetData>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_rels/item24.xml.rels><?xml version="1.0" encoding="UTF-8" standalone="yes"?>
<Relationships xmlns="http://schemas.openxmlformats.org/package/2006/relationships"><Relationship Id="rId1" Type="http://schemas.openxmlformats.org/officeDocument/2006/relationships/customXmlProps" Target="itemProps24.xml"/></Relationships>
</file>

<file path=customXml/_rels/item25.xml.rels><?xml version="1.0" encoding="UTF-8" standalone="yes"?>
<Relationships xmlns="http://schemas.openxmlformats.org/package/2006/relationships"><Relationship Id="rId1" Type="http://schemas.openxmlformats.org/officeDocument/2006/relationships/customXmlProps" Target="itemProps25.xml"/></Relationships>
</file>

<file path=customXml/_rels/item26.xml.rels><?xml version="1.0" encoding="UTF-8" standalone="yes"?>
<Relationships xmlns="http://schemas.openxmlformats.org/package/2006/relationships"><Relationship Id="rId1" Type="http://schemas.openxmlformats.org/officeDocument/2006/relationships/customXmlProps" Target="itemProps26.xml"/></Relationships>
</file>

<file path=customXml/_rels/item27.xml.rels><?xml version="1.0" encoding="UTF-8" standalone="yes"?>
<Relationships xmlns="http://schemas.openxmlformats.org/package/2006/relationships"><Relationship Id="rId1" Type="http://schemas.openxmlformats.org/officeDocument/2006/relationships/customXmlProps" Target="itemProps27.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23.xml>��
</file>

<file path=customXml/item24.xml>��
</file>

<file path=customXml/item25.xml>��
</file>

<file path=customXml/item26.xml>��
</file>

<file path=customXml/item27.xml>��
</file>

<file path=customXml/itemProps1.xml><?xml version="1.0" encoding="utf-8"?>
<ds:datastoreItem xmlns:ds="http://schemas.openxmlformats.org/officeDocument/2006/customXml" ds:itemID="{8A1E05A0-88DD-4454-8FC0-566EAE407606}">
  <ds:schemaRefs/>
</ds:datastoreItem>
</file>

<file path=customXml/itemProps2.xml><?xml version="1.0" encoding="utf-8"?>
<ds:datastoreItem xmlns:ds="http://schemas.openxmlformats.org/officeDocument/2006/customXml" ds:itemID="{884DD889-D68B-4958-923A-1A076C7D7B66}">
  <ds:schemaRefs/>
</ds:datastoreItem>
</file>

<file path=customXml/itemProps3.xml><?xml version="1.0" encoding="utf-8"?>
<ds:datastoreItem xmlns:ds="http://schemas.openxmlformats.org/officeDocument/2006/customXml" ds:itemID="{C6CC2D00-7479-4227-9372-DAB4A9C6431D}">
  <ds:schemaRefs/>
</ds:datastoreItem>
</file>

<file path=customXml/itemProps4.xml><?xml version="1.0" encoding="utf-8"?>
<ds:datastoreItem xmlns:ds="http://schemas.openxmlformats.org/officeDocument/2006/customXml" ds:itemID="{9EB2E0D8-1D82-4732-A32A-D2E55B1081FE}">
  <ds:schemaRefs/>
</ds:datastoreItem>
</file>

<file path=customXml/itemProps5.xml><?xml version="1.0" encoding="utf-8"?>
<ds:datastoreItem xmlns:ds="http://schemas.openxmlformats.org/officeDocument/2006/customXml" ds:itemID="{2B6079F5-DB27-4E40-87BB-59E241011866}">
  <ds:schemaRefs/>
</ds:datastoreItem>
</file>

<file path=customXml/itemProps6.xml><?xml version="1.0" encoding="utf-8"?>
<ds:datastoreItem xmlns:ds="http://schemas.openxmlformats.org/officeDocument/2006/customXml" ds:itemID="{4EE0CD5F-6E89-4577-ABF8-AFA7DFBB78EC}">
  <ds:schemaRefs/>
</ds:datastoreItem>
</file>

<file path=customXml/itemProps7.xml><?xml version="1.0" encoding="utf-8"?>
<ds:datastoreItem xmlns:ds="http://schemas.openxmlformats.org/officeDocument/2006/customXml" ds:itemID="{751670E3-667E-495A-BE37-6CF785FDD904}">
  <ds:schemaRefs/>
</ds:datastoreItem>
</file>

<file path=customXml/itemProps8.xml><?xml version="1.0" encoding="utf-8"?>
<ds:datastoreItem xmlns:ds="http://schemas.openxmlformats.org/officeDocument/2006/customXml" ds:itemID="{CD3D4883-455C-4D71-933D-220CE75DBCF3}">
  <ds:schemaRefs/>
</ds:datastoreItem>
</file>

<file path=customXml/itemProps9.xml><?xml version="1.0" encoding="utf-8"?>
<ds:datastoreItem xmlns:ds="http://schemas.openxmlformats.org/officeDocument/2006/customXml" ds:itemID="{D571776E-835A-477D-8CB5-0ADC9D68CB72}">
  <ds:schemaRefs/>
</ds:datastoreItem>
</file>

<file path=customXml/itemProps10.xml><?xml version="1.0" encoding="utf-8"?>
<ds:datastoreItem xmlns:ds="http://schemas.openxmlformats.org/officeDocument/2006/customXml" ds:itemID="{3863A008-B6AC-440F-9646-D05DA1F7B663}">
  <ds:schemaRefs/>
</ds:datastoreItem>
</file>

<file path=customXml/itemProps11.xml><?xml version="1.0" encoding="utf-8"?>
<ds:datastoreItem xmlns:ds="http://schemas.openxmlformats.org/officeDocument/2006/customXml" ds:itemID="{BC47C8BA-FD4F-4ABE-91B5-3A12E41EEE48}">
  <ds:schemaRefs/>
</ds:datastoreItem>
</file>

<file path=customXml/itemProps12.xml><?xml version="1.0" encoding="utf-8"?>
<ds:datastoreItem xmlns:ds="http://schemas.openxmlformats.org/officeDocument/2006/customXml" ds:itemID="{BF0A4C76-9F80-4185-96C2-B114BE0F1EE8}">
  <ds:schemaRefs/>
</ds:datastoreItem>
</file>

<file path=customXml/itemProps13.xml><?xml version="1.0" encoding="utf-8"?>
<ds:datastoreItem xmlns:ds="http://schemas.openxmlformats.org/officeDocument/2006/customXml" ds:itemID="{B8AB705E-2472-49C3-8DB5-468D001F0138}">
  <ds:schemaRefs/>
</ds:datastoreItem>
</file>

<file path=customXml/itemProps14.xml><?xml version="1.0" encoding="utf-8"?>
<ds:datastoreItem xmlns:ds="http://schemas.openxmlformats.org/officeDocument/2006/customXml" ds:itemID="{29C9B725-F7E1-4E52-88C3-2B9F0B2D06FE}">
  <ds:schemaRefs/>
</ds:datastoreItem>
</file>

<file path=customXml/itemProps15.xml><?xml version="1.0" encoding="utf-8"?>
<ds:datastoreItem xmlns:ds="http://schemas.openxmlformats.org/officeDocument/2006/customXml" ds:itemID="{C5150150-2362-441F-962D-0F3C6FC24D17}">
  <ds:schemaRefs/>
</ds:datastoreItem>
</file>

<file path=customXml/itemProps16.xml><?xml version="1.0" encoding="utf-8"?>
<ds:datastoreItem xmlns:ds="http://schemas.openxmlformats.org/officeDocument/2006/customXml" ds:itemID="{6C1ABCEE-57F9-40C6-833D-8334B6A9A763}">
  <ds:schemaRefs/>
</ds:datastoreItem>
</file>

<file path=customXml/itemProps17.xml><?xml version="1.0" encoding="utf-8"?>
<ds:datastoreItem xmlns:ds="http://schemas.openxmlformats.org/officeDocument/2006/customXml" ds:itemID="{24C63688-C996-4FF7-94FD-61088F79D7AF}">
  <ds:schemaRefs/>
</ds:datastoreItem>
</file>

<file path=customXml/itemProps18.xml><?xml version="1.0" encoding="utf-8"?>
<ds:datastoreItem xmlns:ds="http://schemas.openxmlformats.org/officeDocument/2006/customXml" ds:itemID="{12173034-21AE-4FC4-8684-4BBBE3920319}">
  <ds:schemaRefs/>
</ds:datastoreItem>
</file>

<file path=customXml/itemProps19.xml><?xml version="1.0" encoding="utf-8"?>
<ds:datastoreItem xmlns:ds="http://schemas.openxmlformats.org/officeDocument/2006/customXml" ds:itemID="{6316CF60-1910-4B71-9FA6-887258D05892}">
  <ds:schemaRefs/>
</ds:datastoreItem>
</file>

<file path=customXml/itemProps20.xml><?xml version="1.0" encoding="utf-8"?>
<ds:datastoreItem xmlns:ds="http://schemas.openxmlformats.org/officeDocument/2006/customXml" ds:itemID="{0921F3B2-85B2-41B8-AB08-EB7145938145}">
  <ds:schemaRefs/>
</ds:datastoreItem>
</file>

<file path=customXml/itemProps21.xml><?xml version="1.0" encoding="utf-8"?>
<ds:datastoreItem xmlns:ds="http://schemas.openxmlformats.org/officeDocument/2006/customXml" ds:itemID="{32AB49AB-CA4C-49B7-9FE7-600F9F9D6DD5}">
  <ds:schemaRefs/>
</ds:datastoreItem>
</file>

<file path=customXml/itemProps22.xml><?xml version="1.0" encoding="utf-8"?>
<ds:datastoreItem xmlns:ds="http://schemas.openxmlformats.org/officeDocument/2006/customXml" ds:itemID="{F9B54DD0-A66A-4770-BADB-1FBA91BCD9CF}">
  <ds:schemaRefs/>
</ds:datastoreItem>
</file>

<file path=customXml/itemProps23.xml><?xml version="1.0" encoding="utf-8"?>
<ds:datastoreItem xmlns:ds="http://schemas.openxmlformats.org/officeDocument/2006/customXml" ds:itemID="{0CB5A79C-5B71-45A9-8043-520A6E646214}">
  <ds:schemaRefs/>
</ds:datastoreItem>
</file>

<file path=customXml/itemProps24.xml><?xml version="1.0" encoding="utf-8"?>
<ds:datastoreItem xmlns:ds="http://schemas.openxmlformats.org/officeDocument/2006/customXml" ds:itemID="{8731E496-1680-4379-ADE7-29DDBAF5E760}">
  <ds:schemaRefs/>
</ds:datastoreItem>
</file>

<file path=customXml/itemProps25.xml><?xml version="1.0" encoding="utf-8"?>
<ds:datastoreItem xmlns:ds="http://schemas.openxmlformats.org/officeDocument/2006/customXml" ds:itemID="{6F74467F-F486-445F-ACBB-0EDEDC3EC0CA}">
  <ds:schemaRefs/>
</ds:datastoreItem>
</file>

<file path=customXml/itemProps26.xml><?xml version="1.0" encoding="utf-8"?>
<ds:datastoreItem xmlns:ds="http://schemas.openxmlformats.org/officeDocument/2006/customXml" ds:itemID="{979CA07F-D96D-46E2-9F34-EA158D16C7AB}">
  <ds:schemaRefs/>
</ds:datastoreItem>
</file>

<file path=customXml/itemProps27.xml><?xml version="1.0" encoding="utf-8"?>
<ds:datastoreItem xmlns:ds="http://schemas.openxmlformats.org/officeDocument/2006/customXml" ds:itemID="{AAD9BDFC-BB28-47CE-B9E2-56FDF42976CE}">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Product_Master</vt:lpstr>
      <vt:lpstr>Inventory_Transactions</vt:lpstr>
      <vt:lpstr>Inventory_Status</vt:lpstr>
      <vt:lpstr>Demand_Analysis</vt:lpstr>
      <vt:lpstr>Reorder_Optimization</vt:lpstr>
      <vt:lpstr>Sheet2</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gourav jatav</dc:creator>
  <cp:lastModifiedBy>gourav jatav</cp:lastModifiedBy>
  <dcterms:created xsi:type="dcterms:W3CDTF">2025-12-18T17:02:45Z</dcterms:created>
  <dcterms:modified xsi:type="dcterms:W3CDTF">2025-12-25T06:30:37Z</dcterms:modified>
</cp:coreProperties>
</file>